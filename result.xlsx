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<sst xmlns="http://schemas.openxmlformats.org/spreadsheetml/2006/main" count="353" uniqueCount="222">
  <si>
    <t xml:space="preserve">CLASS:</t>
  </si>
  <si>
    <t xml:space="preserve">coloscare_hong</t>
  </si>
  <si>
    <t xml:space="preserve"> coloscare_vang</t>
  </si>
  <si>
    <t xml:space="preserve"> sumi_orange</t>
  </si>
  <si>
    <t xml:space="preserve"> sumi_cherry</t>
  </si>
  <si>
    <t xml:space="preserve"> coloscare_xanh</t>
  </si>
  <si>
    <t xml:space="preserve"> smarta_grow</t>
  </si>
  <si>
    <t xml:space="preserve"> tobokki_vang</t>
  </si>
  <si>
    <t xml:space="preserve"> keo_kimiko</t>
  </si>
  <si>
    <t xml:space="preserve"> vansua_nestle</t>
  </si>
  <si>
    <t xml:space="preserve"> vansua_burine</t>
  </si>
  <si>
    <t xml:space="preserve"> rongbien_bbq</t>
  </si>
  <si>
    <t xml:space="preserve"> poro_do</t>
  </si>
  <si>
    <t xml:space="preserve"> poro_xanhla</t>
  </si>
  <si>
    <t xml:space="preserve"> kun_tim_suabich</t>
  </si>
  <si>
    <t xml:space="preserve"> kun_cam_suabich</t>
  </si>
  <si>
    <t xml:space="preserve"> poro_tim</t>
  </si>
  <si>
    <t xml:space="preserve"> poro_xanhdatroi</t>
  </si>
  <si>
    <t xml:space="preserve"> hipp_buckwheat</t>
  </si>
  <si>
    <t xml:space="preserve"> tobokki_do</t>
  </si>
  <si>
    <t xml:space="preserve"> kun_hong_suabich</t>
  </si>
  <si>
    <t xml:space="preserve"> kun_do_suabich</t>
  </si>
  <si>
    <t xml:space="preserve"> kun_xanhla_suabich</t>
  </si>
  <si>
    <t xml:space="preserve"> aptamil</t>
  </si>
  <si>
    <t xml:space="preserve"> hanie_kid</t>
  </si>
  <si>
    <t xml:space="preserve"> metacare_blue</t>
  </si>
  <si>
    <t xml:space="preserve"> coloscare_hong1</t>
  </si>
  <si>
    <t xml:space="preserve"> ostelin_kids</t>
  </si>
  <si>
    <t xml:space="preserve"> hd_kids</t>
  </si>
  <si>
    <t xml:space="preserve"> nutricare_bone</t>
  </si>
  <si>
    <t xml:space="preserve"> kazu_hong</t>
  </si>
  <si>
    <t xml:space="preserve"> leankid_100_tim</t>
  </si>
  <si>
    <t xml:space="preserve"> nestle_nan_xanhtroi</t>
  </si>
  <si>
    <t xml:space="preserve"> kazu_xanh</t>
  </si>
  <si>
    <t xml:space="preserve"> kazu_vang</t>
  </si>
  <si>
    <t xml:space="preserve"> botandam_ridielac_xanhtroi</t>
  </si>
  <si>
    <t xml:space="preserve"> suanon_goldilac</t>
  </si>
  <si>
    <t xml:space="preserve"> botandam_metacare_hong</t>
  </si>
  <si>
    <t xml:space="preserve"> botandam_metacare_xanh</t>
  </si>
  <si>
    <t xml:space="preserve"> bot_andam_metacare_vang</t>
  </si>
  <si>
    <t xml:space="preserve"> mamamy_daugoi</t>
  </si>
  <si>
    <t xml:space="preserve"> Lactacycl_bb</t>
  </si>
  <si>
    <t xml:space="preserve"> gohmo_suatam_nhat</t>
  </si>
  <si>
    <t xml:space="preserve"> gohmo_suatam_dam</t>
  </si>
  <si>
    <t xml:space="preserve"> cetaphil</t>
  </si>
  <si>
    <t xml:space="preserve"> pureen_suatam_trang</t>
  </si>
  <si>
    <t xml:space="preserve"> dnee_kid_do</t>
  </si>
  <si>
    <t xml:space="preserve"> dnee_kid_xanh</t>
  </si>
  <si>
    <t xml:space="preserve"> dr_smile</t>
  </si>
  <si>
    <t xml:space="preserve"> diepannhi</t>
  </si>
  <si>
    <t xml:space="preserve"> pureen_vang</t>
  </si>
  <si>
    <t xml:space="preserve"> ro_luoi</t>
  </si>
  <si>
    <t xml:space="preserve"> nuocmuoi</t>
  </si>
  <si>
    <t xml:space="preserve"> botandam_dielac_do</t>
  </si>
  <si>
    <t xml:space="preserve"> benokid_colos</t>
  </si>
  <si>
    <t xml:space="preserve"> vinamilk_suabich</t>
  </si>
  <si>
    <t xml:space="preserve"> fami_suabich</t>
  </si>
  <si>
    <t xml:space="preserve"> pentavite</t>
  </si>
  <si>
    <t xml:space="preserve"> nunest_hop</t>
  </si>
  <si>
    <t xml:space="preserve"> beno_kid</t>
  </si>
  <si>
    <t xml:space="preserve"> milktea_hong</t>
  </si>
  <si>
    <t xml:space="preserve"> matcha_vang</t>
  </si>
  <si>
    <t xml:space="preserve"> kazu_xanhla</t>
  </si>
  <si>
    <t xml:space="preserve"> khautrang_kid</t>
  </si>
  <si>
    <t xml:space="preserve"> elemis_xanh</t>
  </si>
  <si>
    <t xml:space="preserve"> ongtho_hop</t>
  </si>
  <si>
    <t xml:space="preserve"> suaoccho_nau</t>
  </si>
  <si>
    <t xml:space="preserve"> care_100_gold_trang</t>
  </si>
  <si>
    <t xml:space="preserve"> metacare_gold_xanhtroi</t>
  </si>
  <si>
    <t xml:space="preserve"> metacare_gold_xanhla</t>
  </si>
  <si>
    <t xml:space="preserve"> metacare_gold_hong</t>
  </si>
  <si>
    <t xml:space="preserve"> care_100_trang_xanh</t>
  </si>
  <si>
    <t xml:space="preserve"> goigiavi_xanhla</t>
  </si>
  <si>
    <t xml:space="preserve"> goigiavi_do</t>
  </si>
  <si>
    <t xml:space="preserve"> goigiavi_nau</t>
  </si>
  <si>
    <t xml:space="preserve"> meji_hong</t>
  </si>
  <si>
    <t xml:space="preserve"> meji_nau</t>
  </si>
  <si>
    <t xml:space="preserve"> metamom_tim</t>
  </si>
  <si>
    <t xml:space="preserve"> suaoccho_1hop</t>
  </si>
  <si>
    <t xml:space="preserve"> care100_xanhla_1loc</t>
  </si>
  <si>
    <t xml:space="preserve"> hero_cam_1loc</t>
  </si>
  <si>
    <t xml:space="preserve"> pediasure_xanhhong_1loc</t>
  </si>
  <si>
    <t xml:space="preserve"> growplus_do_1loc</t>
  </si>
  <si>
    <t xml:space="preserve"> leankid100_vang_1loc</t>
  </si>
  <si>
    <t xml:space="preserve"> smarta_vang_1loc</t>
  </si>
  <si>
    <t xml:space="preserve"> babyme_1loc</t>
  </si>
  <si>
    <t xml:space="preserve"> kazu_hong_1loc</t>
  </si>
  <si>
    <t xml:space="preserve"> enfagrow_1loc</t>
  </si>
  <si>
    <t xml:space="preserve"> kazu_xanh_1loc</t>
  </si>
  <si>
    <t xml:space="preserve"> Th_1loc</t>
  </si>
  <si>
    <t xml:space="preserve"> yoko_1loc</t>
  </si>
  <si>
    <t xml:space="preserve"> kun_do_1loc</t>
  </si>
  <si>
    <t xml:space="preserve"> grow_vang_1loc</t>
  </si>
  <si>
    <t xml:space="preserve"> care100_vang_1loc</t>
  </si>
  <si>
    <t xml:space="preserve"> optimum_gold_1loc</t>
  </si>
  <si>
    <t xml:space="preserve"> coloscare_trangxanh_1loc</t>
  </si>
  <si>
    <t xml:space="preserve"> vinamilk_itduong_1loc</t>
  </si>
  <si>
    <t xml:space="preserve"> grow_xanhtrang_1loc</t>
  </si>
  <si>
    <t xml:space="preserve"> metacare_xanhdam_1loc</t>
  </si>
  <si>
    <t xml:space="preserve"> alponte_1loc</t>
  </si>
  <si>
    <t xml:space="preserve"> dalatmilk_1loc</t>
  </si>
  <si>
    <t xml:space="preserve"> drluxia_dovang_1loc</t>
  </si>
  <si>
    <t xml:space="preserve"> khautrang_hopnho</t>
  </si>
  <si>
    <t xml:space="preserve"> botngucoc_nau</t>
  </si>
  <si>
    <t xml:space="preserve"> dau_chongmuoi</t>
  </si>
  <si>
    <t xml:space="preserve"> bocuoi_tron</t>
  </si>
  <si>
    <t xml:space="preserve"> bocuoi_bich</t>
  </si>
  <si>
    <t xml:space="preserve"> cheese_dessert_hong</t>
  </si>
  <si>
    <t xml:space="preserve"> cheese_dessert_xanh</t>
  </si>
  <si>
    <t xml:space="preserve"> goi_mau_vang</t>
  </si>
  <si>
    <t xml:space="preserve"> chocopie_hop</t>
  </si>
  <si>
    <t xml:space="preserve"> nuocyen_1loc</t>
  </si>
  <si>
    <t xml:space="preserve"> poro_bichxanh</t>
  </si>
  <si>
    <t xml:space="preserve"> poro_bichhong</t>
  </si>
  <si>
    <t xml:space="preserve"> chao_toyen_vang</t>
  </si>
  <si>
    <t xml:space="preserve"> chaotuoi_vang</t>
  </si>
  <si>
    <t xml:space="preserve"> chaotuoi_do</t>
  </si>
  <si>
    <t xml:space="preserve"> chaotuoi_xanhla</t>
  </si>
  <si>
    <t xml:space="preserve"> chaotuoi_hong</t>
  </si>
  <si>
    <t xml:space="preserve"> babyme_nest</t>
  </si>
  <si>
    <t xml:space="preserve"> vansua_bledina_hong</t>
  </si>
  <si>
    <t xml:space="preserve"> vansua_bledina_vang</t>
  </si>
  <si>
    <t xml:space="preserve"> suachua_hoff_xanhvang</t>
  </si>
  <si>
    <t xml:space="preserve"> suachua_hoff_vang</t>
  </si>
  <si>
    <t xml:space="preserve"> suachua_hoff_xanhtroi</t>
  </si>
  <si>
    <t xml:space="preserve"> suachua_hoff_do</t>
  </si>
  <si>
    <t xml:space="preserve"> khanuot_embe_do</t>
  </si>
  <si>
    <t xml:space="preserve"> khanuot_embe_xanhtroi</t>
  </si>
  <si>
    <t xml:space="preserve"> khanuot_embe_xanhla</t>
  </si>
  <si>
    <t xml:space="preserve"> khanuot_embe_vang</t>
  </si>
  <si>
    <t xml:space="preserve"> khanuot_trangsocxanh</t>
  </si>
  <si>
    <t xml:space="preserve"> tinhdau_xanhla</t>
  </si>
  <si>
    <t xml:space="preserve"> tinhdau_trang</t>
  </si>
  <si>
    <t xml:space="preserve"> ruatay_lifeboy</t>
  </si>
  <si>
    <t xml:space="preserve"> ruatay_24_vang</t>
  </si>
  <si>
    <t xml:space="preserve"> ruatay_suzu_xanh</t>
  </si>
  <si>
    <t xml:space="preserve"> ruatay_suzu_hong</t>
  </si>
  <si>
    <t xml:space="preserve"> hamsua_hong</t>
  </si>
  <si>
    <t xml:space="preserve"> hamsua_xanh</t>
  </si>
  <si>
    <t xml:space="preserve"> ensure_1loc</t>
  </si>
  <si>
    <t xml:space="preserve"> breastmilk_hong</t>
  </si>
  <si>
    <t xml:space="preserve"> binhsua_hongdo</t>
  </si>
  <si>
    <t xml:space="preserve"> breast_milk_xanh</t>
  </si>
  <si>
    <t xml:space="preserve"> breast_milk_trang_xanh</t>
  </si>
  <si>
    <t xml:space="preserve"> phan_pureen_trang</t>
  </si>
  <si>
    <t xml:space="preserve"> ta_popolin_trang</t>
  </si>
  <si>
    <t xml:space="preserve"> super_unidry_vangm28</t>
  </si>
  <si>
    <t xml:space="preserve"> bobby_40+4</t>
  </si>
  <si>
    <t xml:space="preserve"> huggies_dry_L</t>
  </si>
  <si>
    <t xml:space="preserve"> bobby_+6</t>
  </si>
  <si>
    <t xml:space="preserve"> bobby_extrasofting_L</t>
  </si>
  <si>
    <t xml:space="preserve"> binhsua_baby_xanhtroi</t>
  </si>
  <si>
    <t xml:space="preserve"> binhsua_baby_trangcao</t>
  </si>
  <si>
    <t xml:space="preserve"> binhsua_baby_hong</t>
  </si>
  <si>
    <t xml:space="preserve"> binhsua_baby_xanhla</t>
  </si>
  <si>
    <t xml:space="preserve"> binhsua_baby_vang</t>
  </si>
  <si>
    <t xml:space="preserve"> ho_trangxanh_hop</t>
  </si>
  <si>
    <t xml:space="preserve"> DHA_hongvang</t>
  </si>
  <si>
    <t xml:space="preserve"> dauphong_chai</t>
  </si>
  <si>
    <t xml:space="preserve"> banh_hellokitty</t>
  </si>
  <si>
    <t xml:space="preserve"> dauoliu_vangnhat</t>
  </si>
  <si>
    <t xml:space="preserve"> kiddy_chaiden</t>
  </si>
  <si>
    <t xml:space="preserve"> mam_vio_cam</t>
  </si>
  <si>
    <t xml:space="preserve"> mam_vio_xanhnhat</t>
  </si>
  <si>
    <t xml:space="preserve"> dau_oliu_dintel</t>
  </si>
  <si>
    <t xml:space="preserve"> dau_oliu_chailun</t>
  </si>
  <si>
    <t xml:space="preserve"> babybites_vang</t>
  </si>
  <si>
    <t xml:space="preserve"> babybites_do</t>
  </si>
  <si>
    <t xml:space="preserve"> babybites_xanh</t>
  </si>
  <si>
    <t xml:space="preserve"> tambong_xanhla</t>
  </si>
  <si>
    <t xml:space="preserve"> susu_nau_1loc</t>
  </si>
  <si>
    <t xml:space="preserve"> susu_cam_1loc</t>
  </si>
  <si>
    <t xml:space="preserve"> kemdanhrang_vang</t>
  </si>
  <si>
    <t xml:space="preserve"> kemdanhrang_do</t>
  </si>
  <si>
    <t xml:space="preserve"> susu_xanhla_1loc</t>
  </si>
  <si>
    <t xml:space="preserve"> tambong_xanhtroi</t>
  </si>
  <si>
    <t xml:space="preserve"> tatawa_cappucino_do</t>
  </si>
  <si>
    <t xml:space="preserve"> chao_wakodo_hong</t>
  </si>
  <si>
    <t xml:space="preserve"> keo_morinaga_do</t>
  </si>
  <si>
    <t xml:space="preserve"> chao_wakodo_xanhduong</t>
  </si>
  <si>
    <t xml:space="preserve"> nuoinhat_hong_60k</t>
  </si>
  <si>
    <t xml:space="preserve"> bunnhat_cam_60k</t>
  </si>
  <si>
    <t xml:space="preserve"> banhgao_treem_xanhla</t>
  </si>
  <si>
    <t xml:space="preserve"> banhgao_treem_xanhduong</t>
  </si>
  <si>
    <t xml:space="preserve"> dau_ajinomoto</t>
  </si>
  <si>
    <t xml:space="preserve"> binhsua_pur_xanhduong</t>
  </si>
  <si>
    <t xml:space="preserve"> binhsua_babiboo_cam</t>
  </si>
  <si>
    <t xml:space="preserve"> binhsua_latan_do</t>
  </si>
  <si>
    <t xml:space="preserve"> binhsua_ucare_cam</t>
  </si>
  <si>
    <t xml:space="preserve"> botdanhrang_pur</t>
  </si>
  <si>
    <t xml:space="preserve"> numvu_pur</t>
  </si>
  <si>
    <t xml:space="preserve"> khanvai_hientrang</t>
  </si>
  <si>
    <t xml:space="preserve"> khanvai_babyquy_nho</t>
  </si>
  <si>
    <t xml:space="preserve"> num_latan_tim</t>
  </si>
  <si>
    <t xml:space="preserve"> num_latan_xanhduong</t>
  </si>
  <si>
    <t xml:space="preserve"> num_latan_xanhla</t>
  </si>
  <si>
    <t xml:space="preserve"> num_pur_xanhduong</t>
  </si>
  <si>
    <t xml:space="preserve"> khangiay_emos_tim</t>
  </si>
  <si>
    <t xml:space="preserve"> vinamilk_itduong_hopto</t>
  </si>
  <si>
    <t xml:space="preserve"> asutralian100_hopto</t>
  </si>
  <si>
    <t xml:space="preserve"> giat_dnee_xanhduong</t>
  </si>
  <si>
    <t xml:space="preserve"> giat_fineline_tim</t>
  </si>
  <si>
    <t xml:space="preserve"> giat_dnee_xanhduong2</t>
  </si>
  <si>
    <t xml:space="preserve"> giat_fineline_hong</t>
  </si>
  <si>
    <t xml:space="preserve"> giat_dnee_xanhla</t>
  </si>
  <si>
    <t xml:space="preserve"> lausan_lovic_hong</t>
  </si>
  <si>
    <t xml:space="preserve"> bovesinh_babiboo_cam</t>
  </si>
  <si>
    <t xml:space="preserve"> origold_xanhduong</t>
  </si>
  <si>
    <t xml:space="preserve"> origold_tim</t>
  </si>
  <si>
    <t xml:space="preserve"> origold_xanhla</t>
  </si>
  <si>
    <t xml:space="preserve"> origold_hon</t>
  </si>
  <si>
    <t xml:space="preserve"> mAP</t>
  </si>
  <si>
    <t xml:space="preserve">YOLOv5</t>
  </si>
  <si>
    <t xml:space="preserve"> nan</t>
  </si>
  <si>
    <r>
      <rPr>
        <sz val="10"/>
        <rFont val="Arial"/>
        <family val="2"/>
        <charset val="1"/>
      </rPr>
      <t xml:space="preserve">SSD_resnet50v1</t>
    </r>
    <r>
      <rPr>
        <sz val="10"/>
        <rFont val="Arial"/>
        <family val="2"/>
      </rPr>
      <t xml:space="preserve">_augmented_data</t>
    </r>
  </si>
  <si>
    <t xml:space="preserve">SSD_resnet50v1</t>
  </si>
  <si>
    <r>
      <rPr>
        <sz val="10"/>
        <rFont val="Arial"/>
        <family val="2"/>
        <charset val="1"/>
      </rPr>
      <t xml:space="preserve">YOLOv5 – SSD_resnet50v1</t>
    </r>
    <r>
      <rPr>
        <sz val="10"/>
        <rFont val="Arial"/>
        <family val="2"/>
      </rPr>
      <t xml:space="preserve">_augmented_data</t>
    </r>
  </si>
  <si>
    <t xml:space="preserve">YOLOv5 – SSD_resnet50v1</t>
  </si>
  <si>
    <r>
      <rPr>
        <sz val="10"/>
        <rFont val="Arial"/>
        <family val="2"/>
        <charset val="1"/>
      </rPr>
      <t xml:space="preserve">Class YOLOv5 &gt;&gt; SSD_resnetv1</t>
    </r>
    <r>
      <rPr>
        <sz val="10"/>
        <rFont val="Arial"/>
        <family val="2"/>
      </rPr>
      <t xml:space="preserve">_augmented_data</t>
    </r>
  </si>
  <si>
    <t xml:space="preserve">Class YOLOv5 &gt;&gt; SSD_resnetv1</t>
  </si>
  <si>
    <t xml:space="preserve">Class YOLOv5 &lt;&lt; SSD_resnetv1_augmented_data</t>
  </si>
  <si>
    <t xml:space="preserve">Class YOLOv5 &lt;&lt; SSD_resnetv1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</si>
</sst>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2.97"/>
    <col collapsed="false" customWidth="true" hidden="false" outlineLevel="0" max="2" min="2" style="0" width="17.67"/>
    <col collapsed="false" customWidth="true" hidden="false" outlineLevel="0" max="3" min="3" style="0" width="22.28"/>
    <col collapsed="false" customWidth="true" hidden="false" outlineLevel="0" max="4" min="4" style="0" width="20.05"/>
    <col collapsed="false" customWidth="true" hidden="false" outlineLevel="0" max="6" min="5" style="0" width="17.67"/>
    <col collapsed="false" customWidth="true" hidden="false" outlineLevel="0" max="7" min="7" style="0" width="20.33"/>
    <col collapsed="false" customWidth="true" hidden="false" outlineLevel="0" max="8" min="8" style="0" width="17.67"/>
    <col collapsed="false" customWidth="true" hidden="false" outlineLevel="0" max="10" min="9" style="0" width="13.81"/>
    <col collapsed="false" customWidth="true" hidden="false" outlineLevel="0" max="11" min="11" style="0" width="17.67"/>
    <col collapsed="false" customWidth="true" hidden="false" outlineLevel="0" max="12" min="12" style="0" width="18.8"/>
    <col collapsed="false" customWidth="true" hidden="false" outlineLevel="0" max="13" min="13" style="0" width="17.67"/>
    <col collapsed="false" customWidth="true" hidden="false" outlineLevel="0" max="14" min="14" style="0" width="17.55"/>
    <col collapsed="false" customWidth="true" hidden="false" outlineLevel="0" max="15" min="15" style="0" width="16.71"/>
    <col collapsed="false" customWidth="true" hidden="false" outlineLevel="0" max="16" min="16" style="0" width="9.07"/>
    <col collapsed="false" customWidth="true" hidden="false" outlineLevel="0" max="18" min="17" style="0" width="17.67"/>
    <col collapsed="false" customWidth="true" hidden="false" outlineLevel="0" max="19" min="19" style="0" width="10.88"/>
    <col collapsed="false" customWidth="true" hidden="false" outlineLevel="0" max="20" min="20" style="0" width="17.13"/>
    <col collapsed="false" customWidth="true" hidden="false" outlineLevel="0" max="21" min="21" style="0" width="17.67"/>
    <col collapsed="false" customWidth="true" hidden="false" outlineLevel="0" max="22" min="22" style="0" width="18.52"/>
    <col collapsed="false" customWidth="true" hidden="false" outlineLevel="0" max="28" min="23" style="0" width="17.67"/>
    <col collapsed="false" customWidth="true" hidden="false" outlineLevel="0" max="29" min="29" style="0" width="13.93"/>
    <col collapsed="false" customWidth="true" hidden="false" outlineLevel="0" max="30" min="30" style="0" width="17.67"/>
    <col collapsed="false" customWidth="true" hidden="false" outlineLevel="0" max="31" min="31" style="0" width="15.18"/>
    <col collapsed="false" customWidth="true" hidden="false" outlineLevel="0" max="32" min="32" style="0" width="18.24"/>
    <col collapsed="false" customWidth="true" hidden="false" outlineLevel="0" max="34" min="33" style="0" width="17.67"/>
    <col collapsed="false" customWidth="true" hidden="false" outlineLevel="0" max="35" min="35" style="0" width="24.07"/>
    <col collapsed="false" customWidth="true" hidden="false" outlineLevel="0" max="36" min="36" style="0" width="15.05"/>
    <col collapsed="false" customWidth="true" hidden="false" outlineLevel="0" max="38" min="37" style="0" width="23.38"/>
    <col collapsed="false" customWidth="true" hidden="false" outlineLevel="0" max="39" min="39" style="0" width="24.35"/>
    <col collapsed="false" customWidth="true" hidden="false" outlineLevel="0" max="41" min="40" style="0" width="17.67"/>
    <col collapsed="false" customWidth="true" hidden="false" outlineLevel="0" max="43" min="42" style="0" width="18.92"/>
    <col collapsed="false" customWidth="true" hidden="false" outlineLevel="0" max="44" min="44" style="0" width="17.67"/>
    <col collapsed="false" customWidth="true" hidden="false" outlineLevel="0" max="45" min="45" style="0" width="19.49"/>
    <col collapsed="false" customWidth="true" hidden="false" outlineLevel="0" max="46" min="46" style="0" width="12.27"/>
    <col collapsed="false" customWidth="true" hidden="false" outlineLevel="0" max="47" min="47" style="0" width="14.21"/>
    <col collapsed="false" customWidth="true" hidden="false" outlineLevel="0" max="52" min="48" style="0" width="17.67"/>
    <col collapsed="false" customWidth="true" hidden="false" outlineLevel="0" max="53" min="53" style="0" width="18.66"/>
    <col collapsed="false" customWidth="true" hidden="false" outlineLevel="0" max="54" min="54" style="0" width="17.67"/>
    <col collapsed="false" customWidth="true" hidden="false" outlineLevel="0" max="55" min="55" style="0" width="16.02"/>
    <col collapsed="false" customWidth="true" hidden="false" outlineLevel="0" max="58" min="56" style="0" width="17.67"/>
    <col collapsed="false" customWidth="true" hidden="false" outlineLevel="0" max="59" min="59" style="0" width="9.35"/>
    <col collapsed="false" customWidth="true" hidden="false" outlineLevel="0" max="60" min="60" style="0" width="17.67"/>
    <col collapsed="false" customWidth="true" hidden="false" outlineLevel="0" max="61" min="61" style="0" width="12.96"/>
    <col collapsed="false" customWidth="true" hidden="false" outlineLevel="0" max="64" min="62" style="0" width="17.67"/>
    <col collapsed="false" customWidth="true" hidden="false" outlineLevel="0" max="65" min="65" style="0" width="11.43"/>
    <col collapsed="false" customWidth="true" hidden="false" outlineLevel="0" max="66" min="66" style="0" width="17.67"/>
    <col collapsed="false" customWidth="true" hidden="false" outlineLevel="0" max="67" min="67" style="0" width="18.8"/>
    <col collapsed="false" customWidth="true" hidden="false" outlineLevel="0" max="68" min="68" style="0" width="21.3"/>
    <col collapsed="false" customWidth="true" hidden="false" outlineLevel="0" max="69" min="69" style="0" width="20.18"/>
    <col collapsed="false" customWidth="true" hidden="false" outlineLevel="0" max="70" min="70" style="0" width="18.8"/>
    <col collapsed="false" customWidth="true" hidden="false" outlineLevel="0" max="71" min="71" style="0" width="19.36"/>
    <col collapsed="false" customWidth="true" hidden="false" outlineLevel="0" max="74" min="72" style="0" width="17.67"/>
    <col collapsed="false" customWidth="true" hidden="false" outlineLevel="0" max="75" min="75" style="0" width="10.32"/>
    <col collapsed="false" customWidth="true" hidden="false" outlineLevel="0" max="76" min="76" style="0" width="9.35"/>
    <col collapsed="false" customWidth="true" hidden="false" outlineLevel="0" max="77" min="77" style="0" width="13.65"/>
    <col collapsed="false" customWidth="true" hidden="false" outlineLevel="0" max="78" min="78" style="0" width="17.67"/>
    <col collapsed="false" customWidth="true" hidden="false" outlineLevel="0" max="79" min="79" style="0" width="19.08"/>
    <col collapsed="false" customWidth="true" hidden="false" outlineLevel="0" max="80" min="80" style="0" width="17.67"/>
    <col collapsed="false" customWidth="true" hidden="false" outlineLevel="0" max="81" min="81" style="0" width="22.96"/>
    <col collapsed="false" customWidth="true" hidden="false" outlineLevel="0" max="82" min="82" style="0" width="16.43"/>
    <col collapsed="false" customWidth="true" hidden="false" outlineLevel="0" max="83" min="83" style="0" width="19.91"/>
    <col collapsed="false" customWidth="true" hidden="false" outlineLevel="0" max="84" min="84" style="0" width="16.87"/>
    <col collapsed="false" customWidth="true" hidden="false" outlineLevel="0" max="87" min="85" style="0" width="17.67"/>
    <col collapsed="false" customWidth="true" hidden="false" outlineLevel="0" max="88" min="88" style="0" width="15.18"/>
    <col collapsed="false" customWidth="true" hidden="false" outlineLevel="0" max="94" min="89" style="0" width="17.67"/>
    <col collapsed="false" customWidth="true" hidden="false" outlineLevel="0" max="95" min="95" style="0" width="23.1"/>
    <col collapsed="false" customWidth="true" hidden="false" outlineLevel="0" max="96" min="96" style="0" width="19.91"/>
    <col collapsed="false" customWidth="true" hidden="false" outlineLevel="0" max="97" min="97" style="0" width="19.08"/>
    <col collapsed="false" customWidth="true" hidden="false" outlineLevel="0" max="98" min="98" style="0" width="22.28"/>
    <col collapsed="false" customWidth="true" hidden="false" outlineLevel="0" max="100" min="99" style="0" width="17.67"/>
    <col collapsed="false" customWidth="true" hidden="false" outlineLevel="0" max="101" min="101" style="0" width="18.52"/>
    <col collapsed="false" customWidth="true" hidden="false" outlineLevel="0" max="102" min="102" style="0" width="16.87"/>
    <col collapsed="false" customWidth="true" hidden="false" outlineLevel="0" max="106" min="103" style="0" width="17.67"/>
    <col collapsed="false" customWidth="true" hidden="false" outlineLevel="0" max="108" min="107" style="0" width="19.77"/>
    <col collapsed="false" customWidth="true" hidden="false" outlineLevel="0" max="109" min="109" style="0" width="17.67"/>
    <col collapsed="false" customWidth="true" hidden="false" outlineLevel="0" max="111" min="110" style="0" width="13.24"/>
    <col collapsed="false" customWidth="true" hidden="false" outlineLevel="0" max="113" min="112" style="0" width="17.67"/>
    <col collapsed="false" customWidth="true" hidden="false" outlineLevel="0" max="114" min="114" style="0" width="16.3"/>
    <col collapsed="false" customWidth="true" hidden="false" outlineLevel="0" max="119" min="115" style="0" width="17.67"/>
    <col collapsed="false" customWidth="true" hidden="false" outlineLevel="0" max="121" min="120" style="0" width="19.49"/>
    <col collapsed="false" customWidth="true" hidden="false" outlineLevel="0" max="122" min="122" style="0" width="21.58"/>
    <col collapsed="false" customWidth="true" hidden="false" outlineLevel="0" max="123" min="123" style="0" width="17.67"/>
    <col collapsed="false" customWidth="true" hidden="false" outlineLevel="0" max="124" min="124" style="0" width="20.18"/>
    <col collapsed="false" customWidth="true" hidden="false" outlineLevel="0" max="125" min="125" style="0" width="17.67"/>
    <col collapsed="false" customWidth="true" hidden="false" outlineLevel="0" max="126" min="126" style="0" width="16.87"/>
    <col collapsed="false" customWidth="true" hidden="false" outlineLevel="0" max="127" min="127" style="0" width="21.3"/>
    <col collapsed="false" customWidth="true" hidden="false" outlineLevel="0" max="128" min="128" style="0" width="20.18"/>
    <col collapsed="false" customWidth="true" hidden="false" outlineLevel="0" max="129" min="129" style="0" width="18.8"/>
    <col collapsed="false" customWidth="true" hidden="false" outlineLevel="0" max="130" min="130" style="0" width="20.33"/>
    <col collapsed="false" customWidth="true" hidden="false" outlineLevel="0" max="134" min="131" style="0" width="17.67"/>
    <col collapsed="false" customWidth="true" hidden="false" outlineLevel="0" max="136" min="135" style="0" width="16.87"/>
    <col collapsed="false" customWidth="true" hidden="false" outlineLevel="0" max="138" min="137" style="0" width="17.67"/>
    <col collapsed="false" customWidth="true" hidden="false" outlineLevel="0" max="139" min="139" style="0" width="11.85"/>
    <col collapsed="false" customWidth="true" hidden="false" outlineLevel="0" max="140" min="140" style="0" width="17.67"/>
    <col collapsed="false" customWidth="true" hidden="false" outlineLevel="0" max="141" min="141" style="0" width="15.18"/>
    <col collapsed="false" customWidth="true" hidden="false" outlineLevel="0" max="142" min="142" style="0" width="16.3"/>
    <col collapsed="false" customWidth="true" hidden="false" outlineLevel="0" max="143" min="143" style="0" width="21.3"/>
    <col collapsed="false" customWidth="true" hidden="false" outlineLevel="0" max="144" min="144" style="0" width="17.4"/>
    <col collapsed="false" customWidth="true" hidden="false" outlineLevel="0" max="145" min="145" style="0" width="15.34"/>
    <col collapsed="false" customWidth="true" hidden="false" outlineLevel="0" max="146" min="146" style="0" width="20.74"/>
    <col collapsed="false" customWidth="true" hidden="false" outlineLevel="0" max="149" min="147" style="0" width="17.67"/>
    <col collapsed="false" customWidth="true" hidden="false" outlineLevel="0" max="150" min="150" style="0" width="19.36"/>
    <col collapsed="false" customWidth="true" hidden="false" outlineLevel="0" max="151" min="151" style="0" width="20.6"/>
    <col collapsed="false" customWidth="true" hidden="false" outlineLevel="0" max="152" min="152" style="0" width="21.16"/>
    <col collapsed="false" customWidth="true" hidden="false" outlineLevel="0" max="153" min="153" style="0" width="18.12"/>
    <col collapsed="false" customWidth="true" hidden="false" outlineLevel="0" max="154" min="154" style="0" width="19.49"/>
    <col collapsed="false" customWidth="true" hidden="false" outlineLevel="0" max="155" min="155" style="0" width="18.12"/>
    <col collapsed="false" customWidth="true" hidden="false" outlineLevel="0" max="156" min="156" style="0" width="16.87"/>
    <col collapsed="false" customWidth="true" hidden="false" outlineLevel="0" max="159" min="157" style="0" width="17.67"/>
    <col collapsed="false" customWidth="true" hidden="false" outlineLevel="0" max="160" min="160" style="0" width="16.14"/>
    <col collapsed="false" customWidth="true" hidden="false" outlineLevel="0" max="161" min="161" style="0" width="13.65"/>
    <col collapsed="false" customWidth="true" hidden="false" outlineLevel="0" max="162" min="162" style="0" width="17.67"/>
    <col collapsed="false" customWidth="true" hidden="false" outlineLevel="0" max="163" min="163" style="0" width="17.83"/>
    <col collapsed="false" customWidth="true" hidden="false" outlineLevel="0" max="164" min="164" style="0" width="17.67"/>
    <col collapsed="false" customWidth="true" hidden="false" outlineLevel="0" max="165" min="165" style="0" width="15.46"/>
    <col collapsed="false" customWidth="true" hidden="false" outlineLevel="0" max="166" min="166" style="0" width="17.67"/>
    <col collapsed="false" customWidth="true" hidden="false" outlineLevel="0" max="167" min="167" style="0" width="12.83"/>
    <col collapsed="false" customWidth="true" hidden="false" outlineLevel="0" max="168" min="168" style="0" width="14.77"/>
    <col collapsed="false" customWidth="true" hidden="false" outlineLevel="0" max="171" min="169" style="0" width="17.67"/>
    <col collapsed="false" customWidth="true" hidden="false" outlineLevel="0" max="172" min="172" style="0" width="17.83"/>
    <col collapsed="false" customWidth="true" hidden="false" outlineLevel="0" max="173" min="173" style="0" width="17.67"/>
    <col collapsed="false" customWidth="true" hidden="false" outlineLevel="0" max="174" min="174" style="0" width="16.59"/>
    <col collapsed="false" customWidth="true" hidden="false" outlineLevel="0" max="175" min="175" style="0" width="16.43"/>
    <col collapsed="false" customWidth="true" hidden="false" outlineLevel="0" max="176" min="176" style="0" width="19.49"/>
    <col collapsed="false" customWidth="true" hidden="false" outlineLevel="0" max="177" min="177" style="0" width="17.96"/>
    <col collapsed="false" customWidth="true" hidden="false" outlineLevel="0" max="178" min="178" style="0" width="17.67"/>
    <col collapsed="false" customWidth="true" hidden="false" outlineLevel="0" max="179" min="179" style="0" width="22.83"/>
    <col collapsed="false" customWidth="true" hidden="false" outlineLevel="0" max="181" min="180" style="0" width="17.67"/>
    <col collapsed="false" customWidth="true" hidden="false" outlineLevel="0" max="182" min="182" style="0" width="20.74"/>
    <col collapsed="false" customWidth="true" hidden="false" outlineLevel="0" max="183" min="183" style="0" width="24.22"/>
    <col collapsed="false" customWidth="true" hidden="false" outlineLevel="0" max="184" min="184" style="0" width="17.67"/>
    <col collapsed="false" customWidth="true" hidden="false" outlineLevel="0" max="185" min="185" style="0" width="21.58"/>
    <col collapsed="false" customWidth="true" hidden="false" outlineLevel="0" max="186" min="186" style="0" width="20.05"/>
    <col collapsed="false" customWidth="true" hidden="false" outlineLevel="0" max="187" min="187" style="0" width="16.14"/>
    <col collapsed="false" customWidth="true" hidden="false" outlineLevel="0" max="188" min="188" style="0" width="18.24"/>
    <col collapsed="false" customWidth="true" hidden="false" outlineLevel="0" max="190" min="189" style="0" width="17.67"/>
    <col collapsed="false" customWidth="true" hidden="false" outlineLevel="0" max="191" min="191" style="0" width="16.71"/>
    <col collapsed="false" customWidth="true" hidden="false" outlineLevel="0" max="192" min="192" style="0" width="20.05"/>
    <col collapsed="false" customWidth="true" hidden="false" outlineLevel="0" max="193" min="193" style="0" width="17.67"/>
    <col collapsed="false" customWidth="true" hidden="false" outlineLevel="0" max="194" min="194" style="0" width="20.18"/>
    <col collapsed="false" customWidth="true" hidden="false" outlineLevel="0" max="195" min="195" style="0" width="16.71"/>
    <col collapsed="false" customWidth="true" hidden="false" outlineLevel="0" max="196" min="196" style="0" width="18.8"/>
    <col collapsed="false" customWidth="true" hidden="false" outlineLevel="0" max="197" min="197" style="0" width="18.24"/>
    <col collapsed="false" customWidth="true" hidden="false" outlineLevel="0" max="198" min="198" style="0" width="21.02"/>
    <col collapsed="false" customWidth="true" hidden="false" outlineLevel="0" max="199" min="199" style="0" width="18.24"/>
    <col collapsed="false" customWidth="true" hidden="false" outlineLevel="0" max="200" min="200" style="0" width="19.63"/>
    <col collapsed="false" customWidth="true" hidden="false" outlineLevel="0" max="201" min="201" style="0" width="15.18"/>
    <col collapsed="false" customWidth="true" hidden="false" outlineLevel="0" max="202" min="202" style="0" width="20.6"/>
    <col collapsed="false" customWidth="true" hidden="false" outlineLevel="0" max="203" min="203" style="0" width="16.59"/>
    <col collapsed="false" customWidth="true" hidden="false" outlineLevel="0" max="204" min="204" style="0" width="19.63"/>
    <col collapsed="false" customWidth="true" hidden="false" outlineLevel="0" max="205" min="205" style="0" width="16.99"/>
    <col collapsed="false" customWidth="true" hidden="false" outlineLevel="0" max="206" min="206" style="0" width="21.02"/>
    <col collapsed="false" customWidth="true" hidden="false" outlineLevel="0" max="207" min="207" style="0" width="17.13"/>
    <col collapsed="false" customWidth="true" hidden="false" outlineLevel="0" max="209" min="208" style="0" width="17.67"/>
    <col collapsed="false" customWidth="true" hidden="false" outlineLevel="0" max="210" min="210" style="0" width="17.4"/>
    <col collapsed="false" customWidth="true" hidden="false" outlineLevel="0" max="211" min="211" style="0" width="17.67"/>
    <col collapsed="false" customWidth="true" hidden="false" outlineLevel="0" max="212" min="212" style="0" width="19.49"/>
    <col collapsed="false" customWidth="true" hidden="false" outlineLevel="0" max="213" min="213" style="0" width="19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</row>
    <row r="2" customFormat="false" ht="12.8" hidden="false" customHeight="false" outlineLevel="0" collapsed="false">
      <c r="A2" s="1" t="s">
        <v>212</v>
      </c>
      <c r="B2" s="1" t="n">
        <v>0.370680789798437</v>
      </c>
      <c r="C2" s="1" t="n">
        <v>0.784855855606844</v>
      </c>
      <c r="D2" s="1" t="n">
        <v>0.880881542699725</v>
      </c>
      <c r="E2" s="1" t="n">
        <v>0.847075830771483</v>
      </c>
      <c r="F2" s="1" t="n">
        <v>0.980826446280992</v>
      </c>
      <c r="G2" s="1" t="n">
        <v>0.954510623476141</v>
      </c>
      <c r="H2" s="1" t="s">
        <v>213</v>
      </c>
      <c r="I2" s="1" t="s">
        <v>213</v>
      </c>
      <c r="J2" s="1" t="s">
        <v>213</v>
      </c>
      <c r="K2" s="1" t="s">
        <v>213</v>
      </c>
      <c r="L2" s="1" t="s">
        <v>213</v>
      </c>
      <c r="M2" s="1" t="s">
        <v>213</v>
      </c>
      <c r="N2" s="1" t="n">
        <v>0.952569169960474</v>
      </c>
      <c r="O2" s="1" t="n">
        <v>0.871167557932264</v>
      </c>
      <c r="P2" s="1" t="s">
        <v>213</v>
      </c>
      <c r="Q2" s="1" t="s">
        <v>213</v>
      </c>
      <c r="R2" s="1" t="n">
        <v>0.976363636363636</v>
      </c>
      <c r="S2" s="1" t="n">
        <v>0.968181818181818</v>
      </c>
      <c r="T2" s="1" t="s">
        <v>213</v>
      </c>
      <c r="U2" s="1" t="s">
        <v>213</v>
      </c>
      <c r="V2" s="1" t="n">
        <v>1</v>
      </c>
      <c r="W2" s="1" t="n">
        <v>1</v>
      </c>
      <c r="X2" s="1" t="n">
        <v>0.538461538461538</v>
      </c>
      <c r="Y2" s="1" t="n">
        <v>1</v>
      </c>
      <c r="Z2" s="1" t="n">
        <v>0.818181818181818</v>
      </c>
      <c r="AA2" s="1" t="n">
        <v>0.545454545454546</v>
      </c>
      <c r="AB2" s="1" t="n">
        <v>0.858441558441558</v>
      </c>
      <c r="AC2" s="1" t="n">
        <v>0.991735537190083</v>
      </c>
      <c r="AD2" s="1" t="n">
        <v>1</v>
      </c>
      <c r="AE2" s="1" t="n">
        <v>1</v>
      </c>
      <c r="AF2" s="1" t="s">
        <v>213</v>
      </c>
      <c r="AG2" s="1" t="n">
        <v>1</v>
      </c>
      <c r="AH2" s="1" t="n">
        <v>1</v>
      </c>
      <c r="AI2" s="1" t="n">
        <v>0.65100990809547</v>
      </c>
      <c r="AJ2" s="1" t="n">
        <v>0.811447811447811</v>
      </c>
      <c r="AK2" s="1" t="s">
        <v>213</v>
      </c>
      <c r="AL2" s="1" t="n">
        <v>0.764964114832536</v>
      </c>
      <c r="AM2" s="1" t="n">
        <v>0.909090909090909</v>
      </c>
      <c r="AN2" s="1" t="n">
        <v>0.810909090909091</v>
      </c>
      <c r="AO2" s="1" t="n">
        <v>0.545454545454546</v>
      </c>
      <c r="AP2" s="1" t="n">
        <v>0.909090909090909</v>
      </c>
      <c r="AQ2" s="1" t="n">
        <v>0.818181818181818</v>
      </c>
      <c r="AR2" s="1" t="s">
        <v>213</v>
      </c>
      <c r="AS2" s="1" t="n">
        <v>0.909090909090909</v>
      </c>
      <c r="AT2" s="1" t="n">
        <v>0.818181818181818</v>
      </c>
      <c r="AU2" s="1" t="s">
        <v>213</v>
      </c>
      <c r="AV2" s="1" t="s">
        <v>213</v>
      </c>
      <c r="AW2" s="1" t="n">
        <v>0.818181818181818</v>
      </c>
      <c r="AX2" s="1" t="n">
        <v>0.607897153351699</v>
      </c>
      <c r="AY2" s="1" t="n">
        <v>0.727272727272727</v>
      </c>
      <c r="AZ2" s="1" t="n">
        <v>0.909090909090909</v>
      </c>
      <c r="BA2" s="1" t="n">
        <v>0.545454545454546</v>
      </c>
      <c r="BB2" s="1" t="n">
        <v>0.796623603075216</v>
      </c>
      <c r="BC2" s="1" t="n">
        <v>0.756950625426204</v>
      </c>
      <c r="BD2" s="1" t="s">
        <v>213</v>
      </c>
      <c r="BE2" s="1" t="n">
        <v>0.813131313131313</v>
      </c>
      <c r="BF2" s="1" t="n">
        <v>1</v>
      </c>
      <c r="BG2" s="1" t="n">
        <v>0.909090909090909</v>
      </c>
      <c r="BH2" s="1" t="n">
        <v>1</v>
      </c>
      <c r="BI2" s="1" t="n">
        <v>1</v>
      </c>
      <c r="BJ2" s="1" t="s">
        <v>213</v>
      </c>
      <c r="BK2" s="1" t="n">
        <v>0.0909090909090909</v>
      </c>
      <c r="BL2" s="1" t="n">
        <v>1</v>
      </c>
      <c r="BM2" s="1" t="n">
        <v>1</v>
      </c>
      <c r="BN2" s="1" t="s">
        <v>213</v>
      </c>
      <c r="BO2" s="1" t="n">
        <v>0.89469696969697</v>
      </c>
      <c r="BP2" s="1" t="n">
        <v>0.818181818181818</v>
      </c>
      <c r="BQ2" s="1" t="n">
        <v>0.995670995670996</v>
      </c>
      <c r="BR2" s="1" t="n">
        <v>1</v>
      </c>
      <c r="BS2" s="1" t="n">
        <v>0.181818181818182</v>
      </c>
      <c r="BT2" s="1" t="n">
        <v>0.909090909090909</v>
      </c>
      <c r="BU2" s="1" t="n">
        <v>0.909090909090909</v>
      </c>
      <c r="BV2" s="1" t="n">
        <v>1</v>
      </c>
      <c r="BW2" s="1" t="n">
        <v>0.995670995670996</v>
      </c>
      <c r="BX2" s="1" t="n">
        <v>1</v>
      </c>
      <c r="BY2" s="1" t="n">
        <v>1</v>
      </c>
      <c r="BZ2" s="1" t="n">
        <v>1</v>
      </c>
      <c r="CA2" s="1" t="n">
        <v>0.713796770931408</v>
      </c>
      <c r="CB2" s="1" t="n">
        <v>0.717503268969545</v>
      </c>
      <c r="CC2" s="1" t="n">
        <v>0.959163830821585</v>
      </c>
      <c r="CD2" s="1" t="s">
        <v>213</v>
      </c>
      <c r="CE2" s="1" t="s">
        <v>213</v>
      </c>
      <c r="CF2" s="1" t="n">
        <v>0.0202020202020202</v>
      </c>
      <c r="CG2" s="1" t="n">
        <v>0.915863968842025</v>
      </c>
      <c r="CH2" s="1" t="n">
        <v>0.712198912198912</v>
      </c>
      <c r="CI2" s="1" t="n">
        <v>0.818181818181818</v>
      </c>
      <c r="CJ2" s="1" t="n">
        <v>0.991735537190083</v>
      </c>
      <c r="CK2" s="1" t="s">
        <v>213</v>
      </c>
      <c r="CL2" s="1" t="n">
        <v>0.909090909090909</v>
      </c>
      <c r="CM2" s="1" t="n">
        <v>0.818181818181818</v>
      </c>
      <c r="CN2" s="1" t="n">
        <v>0.770562770562771</v>
      </c>
      <c r="CO2" s="1" t="n">
        <v>0.906633906633907</v>
      </c>
      <c r="CP2" s="1" t="n">
        <v>0.522510822510822</v>
      </c>
      <c r="CQ2" s="1" t="n">
        <v>0.84738514173998</v>
      </c>
      <c r="CR2" s="1" t="n">
        <v>0.636363636363636</v>
      </c>
      <c r="CS2" s="1" t="s">
        <v>213</v>
      </c>
      <c r="CT2" s="1" t="n">
        <v>0.909090909090909</v>
      </c>
      <c r="CU2" s="1" t="n">
        <v>0.818181818181818</v>
      </c>
      <c r="CV2" s="1" t="n">
        <v>0.703728264073092</v>
      </c>
      <c r="CW2" s="1" t="n">
        <v>0.995867768595041</v>
      </c>
      <c r="CX2" s="1" t="s">
        <v>213</v>
      </c>
      <c r="CY2" s="1" t="s">
        <v>213</v>
      </c>
      <c r="CZ2" s="1" t="n">
        <v>0.627272727272727</v>
      </c>
      <c r="DA2" s="1" t="n">
        <v>0.545454545454546</v>
      </c>
      <c r="DB2" s="1" t="n">
        <v>0.98951048951049</v>
      </c>
      <c r="DC2" s="1" t="n">
        <v>0.714987714987715</v>
      </c>
      <c r="DD2" s="1" t="n">
        <v>1</v>
      </c>
      <c r="DE2" s="1" t="n">
        <v>0.904761904761905</v>
      </c>
      <c r="DF2" s="1" t="n">
        <v>0.545454545454546</v>
      </c>
      <c r="DG2" s="1" t="s">
        <v>213</v>
      </c>
      <c r="DH2" s="1" t="s">
        <v>213</v>
      </c>
      <c r="DI2" s="1" t="n">
        <v>1</v>
      </c>
      <c r="DJ2" s="1" t="n">
        <v>0.909090909090909</v>
      </c>
      <c r="DK2" s="1" t="s">
        <v>213</v>
      </c>
      <c r="DL2" s="1" t="n">
        <v>0.909090909090909</v>
      </c>
      <c r="DM2" s="1" t="n">
        <v>0.870048309178744</v>
      </c>
      <c r="DN2" s="1" t="n">
        <v>0.437878787878788</v>
      </c>
      <c r="DO2" s="1" t="n">
        <v>0.545454545454546</v>
      </c>
      <c r="DP2" s="1" t="n">
        <v>0.272727272727273</v>
      </c>
      <c r="DQ2" s="1" t="s">
        <v>213</v>
      </c>
      <c r="DR2" s="1" t="n">
        <v>1</v>
      </c>
      <c r="DS2" s="1" t="n">
        <v>0.636363636363636</v>
      </c>
      <c r="DT2" s="1" t="n">
        <v>0.363636363636364</v>
      </c>
      <c r="DU2" s="1" t="n">
        <v>0.272727272727273</v>
      </c>
      <c r="DV2" s="1" t="n">
        <v>0.996212121212121</v>
      </c>
      <c r="DW2" s="1" t="s">
        <v>213</v>
      </c>
      <c r="DX2" s="1" t="n">
        <v>0.727272727272727</v>
      </c>
      <c r="DY2" s="1" t="s">
        <v>213</v>
      </c>
      <c r="DZ2" s="1" t="n">
        <v>0.909090909090909</v>
      </c>
      <c r="EA2" s="1" t="n">
        <v>0.818181818181818</v>
      </c>
      <c r="EB2" s="1" t="n">
        <v>0.63030303030303</v>
      </c>
      <c r="EC2" s="1" t="n">
        <v>0.813636363636364</v>
      </c>
      <c r="ED2" s="1" t="n">
        <v>0.727272727272727</v>
      </c>
      <c r="EE2" s="1" t="n">
        <v>0.909090909090909</v>
      </c>
      <c r="EF2" s="1" t="n">
        <v>0.727272727272727</v>
      </c>
      <c r="EG2" s="1" t="n">
        <v>0.818181818181818</v>
      </c>
      <c r="EH2" s="1" t="n">
        <v>0.896103896103896</v>
      </c>
      <c r="EI2" s="1" t="n">
        <v>0.383343928798474</v>
      </c>
      <c r="EJ2" s="1" t="n">
        <v>1</v>
      </c>
      <c r="EK2" s="1" t="n">
        <v>0.815909090909091</v>
      </c>
      <c r="EL2" s="1" t="s">
        <v>213</v>
      </c>
      <c r="EM2" s="1" t="n">
        <v>0.909090909090909</v>
      </c>
      <c r="EN2" s="1" t="n">
        <v>0.768503075871497</v>
      </c>
      <c r="EO2" s="1" t="s">
        <v>213</v>
      </c>
      <c r="EP2" s="1" t="n">
        <v>0.545454545454546</v>
      </c>
      <c r="EQ2" s="1" t="n">
        <v>0.965384615384616</v>
      </c>
      <c r="ER2" s="1" t="n">
        <v>1</v>
      </c>
      <c r="ES2" s="1" t="n">
        <v>0.905359447854377</v>
      </c>
      <c r="ET2" s="1" t="n">
        <v>1</v>
      </c>
      <c r="EU2" s="1" t="s">
        <v>213</v>
      </c>
      <c r="EV2" s="1" t="s">
        <v>213</v>
      </c>
      <c r="EW2" s="1" t="n">
        <v>0.898181818181818</v>
      </c>
      <c r="EX2" s="1" t="n">
        <v>0.818181818181818</v>
      </c>
      <c r="EY2" s="1" t="n">
        <v>1</v>
      </c>
      <c r="EZ2" s="1" t="n">
        <v>0.99604743083004</v>
      </c>
      <c r="FA2" s="1" t="s">
        <v>213</v>
      </c>
      <c r="FB2" s="1" t="n">
        <v>0.909090909090909</v>
      </c>
      <c r="FC2" s="1" t="n">
        <v>0.727272727272727</v>
      </c>
      <c r="FD2" s="1" t="n">
        <v>0.881776953205525</v>
      </c>
      <c r="FE2" s="1" t="n">
        <v>0.909090909090909</v>
      </c>
      <c r="FF2" s="1" t="s">
        <v>213</v>
      </c>
      <c r="FG2" s="1" t="n">
        <v>0.963636363636364</v>
      </c>
      <c r="FH2" s="1" t="n">
        <v>0.664201826881253</v>
      </c>
      <c r="FI2" s="1" t="n">
        <v>0.363636363636364</v>
      </c>
      <c r="FJ2" s="1" t="n">
        <v>0.874514374514375</v>
      </c>
      <c r="FK2" s="1" t="n">
        <v>0.906873614190688</v>
      </c>
      <c r="FL2" s="1" t="s">
        <v>213</v>
      </c>
      <c r="FM2" s="1" t="s">
        <v>213</v>
      </c>
      <c r="FN2" s="1" t="n">
        <v>0.62987012987013</v>
      </c>
      <c r="FO2" s="1" t="n">
        <v>0.181818181818182</v>
      </c>
      <c r="FP2" s="1" t="n">
        <v>0.695715778474399</v>
      </c>
      <c r="FQ2" s="1" t="n">
        <v>0.454545454545455</v>
      </c>
      <c r="FR2" s="1" t="n">
        <v>0.818181818181818</v>
      </c>
      <c r="FS2" s="1" t="n">
        <v>1</v>
      </c>
      <c r="FT2" s="1" t="n">
        <v>0.629180121149268</v>
      </c>
      <c r="FU2" s="1" t="n">
        <v>0.779545454545455</v>
      </c>
      <c r="FV2" s="1" t="n">
        <v>0.909090909090909</v>
      </c>
      <c r="FW2" s="1" t="n">
        <v>1</v>
      </c>
      <c r="FX2" s="1" t="n">
        <v>0.909090909090909</v>
      </c>
      <c r="FY2" s="1" t="n">
        <v>0.991341991341991</v>
      </c>
      <c r="FZ2" s="1" t="n">
        <v>0.909090909090909</v>
      </c>
      <c r="GA2" s="1" t="n">
        <v>0.674405594405594</v>
      </c>
      <c r="GB2" s="1" t="s">
        <v>213</v>
      </c>
      <c r="GC2" s="1" t="n">
        <v>1</v>
      </c>
      <c r="GD2" s="1" t="n">
        <v>0.676091780930491</v>
      </c>
      <c r="GE2" s="1" t="n">
        <v>0.907235621521336</v>
      </c>
      <c r="GF2" s="1" t="n">
        <v>0.996289424860854</v>
      </c>
      <c r="GG2" s="1" t="n">
        <v>0.998106060606061</v>
      </c>
      <c r="GH2" s="1" t="n">
        <v>0.633431085043988</v>
      </c>
      <c r="GI2" s="1" t="n">
        <v>0.995670995670996</v>
      </c>
      <c r="GJ2" s="1" t="n">
        <v>0.971646287435761</v>
      </c>
      <c r="GK2" s="1" t="n">
        <v>0</v>
      </c>
      <c r="GL2" s="1" t="n">
        <v>1</v>
      </c>
      <c r="GM2" s="1" t="n">
        <v>1</v>
      </c>
      <c r="GN2" s="1" t="n">
        <v>1</v>
      </c>
      <c r="GO2" s="1" t="s">
        <v>213</v>
      </c>
      <c r="GP2" s="1" t="n">
        <v>0.965909090909091</v>
      </c>
      <c r="GQ2" s="1" t="s">
        <v>213</v>
      </c>
      <c r="GR2" s="1" t="s">
        <v>213</v>
      </c>
      <c r="GS2" s="1" t="n">
        <v>0</v>
      </c>
      <c r="GT2" s="1" t="n">
        <v>1</v>
      </c>
      <c r="GU2" s="1" t="s">
        <v>213</v>
      </c>
      <c r="GV2" s="1" t="s">
        <v>213</v>
      </c>
      <c r="GW2" s="1" t="n">
        <v>0</v>
      </c>
      <c r="GX2" s="1" t="n">
        <v>0.976041757285777</v>
      </c>
      <c r="GY2" s="1" t="n">
        <v>0.454545454545455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0.80440573484003</v>
      </c>
    </row>
    <row r="3" customFormat="false" ht="12.8" hidden="false" customHeight="false" outlineLevel="0" collapsed="false">
      <c r="A3" s="1" t="s">
        <v>214</v>
      </c>
      <c r="B3" s="1" t="n">
        <v>0.25788885345209</v>
      </c>
      <c r="C3" s="1" t="n">
        <v>0.195593447648242</v>
      </c>
      <c r="D3" s="1" t="n">
        <v>0.794399274124701</v>
      </c>
      <c r="E3" s="1" t="n">
        <v>1</v>
      </c>
      <c r="F3" s="1" t="n">
        <v>0.560892279906365</v>
      </c>
      <c r="G3" s="1" t="n">
        <v>0.951048951048951</v>
      </c>
      <c r="H3" s="1" t="s">
        <v>213</v>
      </c>
      <c r="I3" s="1" t="s">
        <v>213</v>
      </c>
      <c r="J3" s="1" t="s">
        <v>213</v>
      </c>
      <c r="K3" s="1" t="s">
        <v>213</v>
      </c>
      <c r="L3" s="1" t="s">
        <v>213</v>
      </c>
      <c r="M3" s="1" t="s">
        <v>213</v>
      </c>
      <c r="N3" s="1" t="n">
        <v>0.732751760024487</v>
      </c>
      <c r="O3" s="1" t="n">
        <v>0.660410323328984</v>
      </c>
      <c r="P3" s="1" t="s">
        <v>213</v>
      </c>
      <c r="Q3" s="1" t="s">
        <v>213</v>
      </c>
      <c r="R3" s="1" t="n">
        <v>0.974620345329728</v>
      </c>
      <c r="S3" s="1" t="n">
        <v>0.982517482517483</v>
      </c>
      <c r="T3" s="1" t="s">
        <v>213</v>
      </c>
      <c r="U3" s="1" t="s">
        <v>213</v>
      </c>
      <c r="V3" s="1" t="n">
        <v>0.912283298097252</v>
      </c>
      <c r="W3" s="1" t="n">
        <v>0.947240857228896</v>
      </c>
      <c r="X3" s="1" t="n">
        <v>0.252006552006552</v>
      </c>
      <c r="Y3" s="1" t="n">
        <v>0.765379825653798</v>
      </c>
      <c r="Z3" s="1" t="n">
        <v>0.257311870519418</v>
      </c>
      <c r="AA3" s="1" t="n">
        <v>0.268524920009254</v>
      </c>
      <c r="AB3" s="1" t="n">
        <v>0.898289808277847</v>
      </c>
      <c r="AC3" s="1" t="n">
        <v>0.89033189033189</v>
      </c>
      <c r="AD3" s="1" t="n">
        <v>1</v>
      </c>
      <c r="AE3" s="1" t="n">
        <v>0.843344155844156</v>
      </c>
      <c r="AF3" s="1" t="s">
        <v>213</v>
      </c>
      <c r="AG3" s="1" t="n">
        <v>1</v>
      </c>
      <c r="AH3" s="1" t="n">
        <v>0.56393061045235</v>
      </c>
      <c r="AI3" s="1" t="n">
        <v>0.854670619235837</v>
      </c>
      <c r="AJ3" s="1" t="n">
        <v>0.909090909090909</v>
      </c>
      <c r="AK3" s="1" t="s">
        <v>213</v>
      </c>
      <c r="AL3" s="1" t="n">
        <v>1</v>
      </c>
      <c r="AM3" s="1" t="n">
        <v>1</v>
      </c>
      <c r="AN3" s="1" t="n">
        <v>1</v>
      </c>
      <c r="AO3" s="1" t="n">
        <v>0.745136909161299</v>
      </c>
      <c r="AP3" s="1" t="n">
        <v>0.945380860274477</v>
      </c>
      <c r="AQ3" s="1" t="n">
        <v>1</v>
      </c>
      <c r="AR3" s="1" t="s">
        <v>213</v>
      </c>
      <c r="AS3" s="1" t="n">
        <v>0.975259844825062</v>
      </c>
      <c r="AT3" s="1" t="n">
        <v>0.727272727272727</v>
      </c>
      <c r="AU3" s="1" t="s">
        <v>213</v>
      </c>
      <c r="AV3" s="1" t="s">
        <v>213</v>
      </c>
      <c r="AW3" s="1" t="n">
        <v>0.904306220095694</v>
      </c>
      <c r="AX3" s="1" t="n">
        <v>0.584848484848485</v>
      </c>
      <c r="AY3" s="1" t="n">
        <v>0.797767145135566</v>
      </c>
      <c r="AZ3" s="1" t="n">
        <v>0.965909090909091</v>
      </c>
      <c r="BA3" s="1" t="n">
        <v>0.611111111111111</v>
      </c>
      <c r="BB3" s="1" t="n">
        <v>0.923894366755664</v>
      </c>
      <c r="BC3" s="1" t="n">
        <v>0.941125357225612</v>
      </c>
      <c r="BD3" s="1" t="s">
        <v>213</v>
      </c>
      <c r="BE3" s="1" t="n">
        <v>0.961038961038961</v>
      </c>
      <c r="BF3" s="1" t="n">
        <v>0.951551882460973</v>
      </c>
      <c r="BG3" s="1" t="n">
        <v>0.905454545454546</v>
      </c>
      <c r="BH3" s="1" t="n">
        <v>1</v>
      </c>
      <c r="BI3" s="1" t="n">
        <v>1</v>
      </c>
      <c r="BJ3" s="1" t="s">
        <v>213</v>
      </c>
      <c r="BK3" s="1" t="n">
        <v>0.520295173377661</v>
      </c>
      <c r="BL3" s="1" t="n">
        <v>1</v>
      </c>
      <c r="BM3" s="1" t="n">
        <v>0.878327812538339</v>
      </c>
      <c r="BN3" s="1" t="s">
        <v>213</v>
      </c>
      <c r="BO3" s="1" t="n">
        <v>0.986531986531987</v>
      </c>
      <c r="BP3" s="1" t="n">
        <v>0.865337870685464</v>
      </c>
      <c r="BQ3" s="1" t="n">
        <v>0.769506825534601</v>
      </c>
      <c r="BR3" s="1" t="n">
        <v>0.639344428787244</v>
      </c>
      <c r="BS3" s="1" t="n">
        <v>0.0520473022912047</v>
      </c>
      <c r="BT3" s="1" t="n">
        <v>0.651871159032284</v>
      </c>
      <c r="BU3" s="1" t="n">
        <v>0.635981022344659</v>
      </c>
      <c r="BV3" s="1" t="n">
        <v>1</v>
      </c>
      <c r="BW3" s="1" t="n">
        <v>0.325039007965837</v>
      </c>
      <c r="BX3" s="1" t="n">
        <v>1</v>
      </c>
      <c r="BY3" s="1" t="n">
        <v>1</v>
      </c>
      <c r="BZ3" s="1" t="n">
        <v>1</v>
      </c>
      <c r="CA3" s="1" t="n">
        <v>0.709090361939306</v>
      </c>
      <c r="CB3" s="1" t="n">
        <v>0.609892115929377</v>
      </c>
      <c r="CC3" s="1" t="n">
        <v>0.73734659060746</v>
      </c>
      <c r="CD3" s="1" t="s">
        <v>213</v>
      </c>
      <c r="CE3" s="1" t="s">
        <v>213</v>
      </c>
      <c r="CF3" s="1" t="n">
        <v>0.225553347899152</v>
      </c>
      <c r="CG3" s="1" t="n">
        <v>0.899747075774033</v>
      </c>
      <c r="CH3" s="1" t="n">
        <v>0.737590381735257</v>
      </c>
      <c r="CI3" s="1" t="n">
        <v>0.630777409724778</v>
      </c>
      <c r="CJ3" s="1" t="n">
        <v>1</v>
      </c>
      <c r="CK3" s="1" t="s">
        <v>213</v>
      </c>
      <c r="CL3" s="1" t="n">
        <v>0.682317682317682</v>
      </c>
      <c r="CM3" s="1" t="n">
        <v>0.901185770750988</v>
      </c>
      <c r="CN3" s="1" t="n">
        <v>0.525869789506153</v>
      </c>
      <c r="CO3" s="1" t="n">
        <v>0.627865571858034</v>
      </c>
      <c r="CP3" s="1" t="n">
        <v>0.057649667405765</v>
      </c>
      <c r="CQ3" s="1" t="n">
        <v>0.789090909090909</v>
      </c>
      <c r="CR3" s="1" t="n">
        <v>0.419469856178717</v>
      </c>
      <c r="CS3" s="1" t="s">
        <v>213</v>
      </c>
      <c r="CT3" s="1" t="n">
        <v>0.893280632411067</v>
      </c>
      <c r="CU3" s="1" t="n">
        <v>0.553135806810855</v>
      </c>
      <c r="CV3" s="1" t="n">
        <v>0.68000856917861</v>
      </c>
      <c r="CW3" s="1" t="n">
        <v>0.727272727272727</v>
      </c>
      <c r="CX3" s="1" t="s">
        <v>213</v>
      </c>
      <c r="CY3" s="1" t="s">
        <v>213</v>
      </c>
      <c r="CZ3" s="1" t="n">
        <v>0.688844683222705</v>
      </c>
      <c r="DA3" s="1" t="n">
        <v>0.712121212121212</v>
      </c>
      <c r="DB3" s="1" t="n">
        <v>0.828753901887135</v>
      </c>
      <c r="DC3" s="1" t="n">
        <v>0.788135011345843</v>
      </c>
      <c r="DD3" s="1" t="n">
        <v>1</v>
      </c>
      <c r="DE3" s="1" t="n">
        <v>0.796049275885085</v>
      </c>
      <c r="DF3" s="1" t="n">
        <v>0.166579713925481</v>
      </c>
      <c r="DG3" s="1" t="s">
        <v>213</v>
      </c>
      <c r="DH3" s="1" t="s">
        <v>213</v>
      </c>
      <c r="DI3" s="1" t="n">
        <v>0.837356760886173</v>
      </c>
      <c r="DJ3" s="1" t="n">
        <v>0.887272727272727</v>
      </c>
      <c r="DK3" s="1" t="s">
        <v>213</v>
      </c>
      <c r="DL3" s="1" t="n">
        <v>0.361857491167836</v>
      </c>
      <c r="DM3" s="1" t="n">
        <v>0.670946477764659</v>
      </c>
      <c r="DN3" s="1" t="n">
        <v>0.455898644892952</v>
      </c>
      <c r="DO3" s="1" t="n">
        <v>0.599780412823891</v>
      </c>
      <c r="DP3" s="1" t="n">
        <v>0.876692456479691</v>
      </c>
      <c r="DQ3" s="1" t="s">
        <v>213</v>
      </c>
      <c r="DR3" s="1" t="n">
        <v>0.991735537190083</v>
      </c>
      <c r="DS3" s="1" t="n">
        <v>0.953685503685504</v>
      </c>
      <c r="DT3" s="1" t="n">
        <v>0.972727272727273</v>
      </c>
      <c r="DU3" s="1" t="n">
        <v>0.519068233353948</v>
      </c>
      <c r="DV3" s="1" t="n">
        <v>0.818181818181818</v>
      </c>
      <c r="DW3" s="1" t="s">
        <v>213</v>
      </c>
      <c r="DX3" s="1" t="n">
        <v>0.80511862864804</v>
      </c>
      <c r="DY3" s="1" t="s">
        <v>213</v>
      </c>
      <c r="DZ3" s="1" t="n">
        <v>0.667448362976222</v>
      </c>
      <c r="EA3" s="1" t="n">
        <v>0.552137310174246</v>
      </c>
      <c r="EB3" s="1" t="n">
        <v>0.492640439449178</v>
      </c>
      <c r="EC3" s="1" t="n">
        <v>0.795746943115364</v>
      </c>
      <c r="ED3" s="1" t="n">
        <v>0.833789447267708</v>
      </c>
      <c r="EE3" s="1" t="n">
        <v>0.934331550802139</v>
      </c>
      <c r="EF3" s="1" t="n">
        <v>0.496470588235294</v>
      </c>
      <c r="EG3" s="1" t="n">
        <v>0.977272727272728</v>
      </c>
      <c r="EH3" s="1" t="n">
        <v>1</v>
      </c>
      <c r="EI3" s="1" t="n">
        <v>0.657670454545455</v>
      </c>
      <c r="EJ3" s="1" t="n">
        <v>1</v>
      </c>
      <c r="EK3" s="1" t="n">
        <v>0.992424242424243</v>
      </c>
      <c r="EL3" s="1" t="s">
        <v>213</v>
      </c>
      <c r="EM3" s="1" t="n">
        <v>0.995670995670996</v>
      </c>
      <c r="EN3" s="1" t="n">
        <v>0.944610512826832</v>
      </c>
      <c r="EO3" s="1" t="s">
        <v>213</v>
      </c>
      <c r="EP3" s="1" t="n">
        <v>0.873953823953824</v>
      </c>
      <c r="EQ3" s="1" t="n">
        <v>0.983471074380165</v>
      </c>
      <c r="ER3" s="1" t="n">
        <v>1</v>
      </c>
      <c r="ES3" s="1" t="n">
        <v>1</v>
      </c>
      <c r="ET3" s="1" t="n">
        <v>1</v>
      </c>
      <c r="EU3" s="1" t="s">
        <v>213</v>
      </c>
      <c r="EV3" s="1" t="s">
        <v>213</v>
      </c>
      <c r="EW3" s="1" t="n">
        <v>0.502661090173729</v>
      </c>
      <c r="EX3" s="1" t="n">
        <v>0.935832984220081</v>
      </c>
      <c r="EY3" s="1" t="n">
        <v>0.991735537190083</v>
      </c>
      <c r="EZ3" s="1" t="n">
        <v>0.906926406926407</v>
      </c>
      <c r="FA3" s="1" t="s">
        <v>213</v>
      </c>
      <c r="FB3" s="1" t="n">
        <v>0.908357220857221</v>
      </c>
      <c r="FC3" s="1" t="n">
        <v>0.889177489177489</v>
      </c>
      <c r="FD3" s="1" t="n">
        <v>0.844256518675124</v>
      </c>
      <c r="FE3" s="1" t="n">
        <v>0.899521531100479</v>
      </c>
      <c r="FF3" s="1" t="s">
        <v>213</v>
      </c>
      <c r="FG3" s="1" t="n">
        <v>0.826062573789847</v>
      </c>
      <c r="FH3" s="1" t="n">
        <v>0.575324675324675</v>
      </c>
      <c r="FI3" s="1" t="n">
        <v>0.774455287217925</v>
      </c>
      <c r="FJ3" s="1" t="n">
        <v>0.529892908274283</v>
      </c>
      <c r="FK3" s="1" t="n">
        <v>0.843825490884315</v>
      </c>
      <c r="FL3" s="1" t="s">
        <v>213</v>
      </c>
      <c r="FM3" s="1" t="s">
        <v>213</v>
      </c>
      <c r="FN3" s="1" t="n">
        <v>0.991735537190083</v>
      </c>
      <c r="FO3" s="1" t="n">
        <v>0.958230958230958</v>
      </c>
      <c r="FP3" s="1" t="n">
        <v>0.807295872660619</v>
      </c>
      <c r="FQ3" s="1" t="n">
        <v>0.8853668261563</v>
      </c>
      <c r="FR3" s="1" t="n">
        <v>0.700903263403263</v>
      </c>
      <c r="FS3" s="1" t="n">
        <v>0.00303030303030303</v>
      </c>
      <c r="FT3" s="1" t="n">
        <v>0.761553954067323</v>
      </c>
      <c r="FU3" s="1" t="n">
        <v>1</v>
      </c>
      <c r="FV3" s="1" t="n">
        <v>0.815866171597397</v>
      </c>
      <c r="FW3" s="1" t="n">
        <v>1</v>
      </c>
      <c r="FX3" s="1" t="n">
        <v>0.749264427455917</v>
      </c>
      <c r="FY3" s="1" t="n">
        <v>0.582030966936627</v>
      </c>
      <c r="FZ3" s="1" t="n">
        <v>0.720145246114558</v>
      </c>
      <c r="GA3" s="1" t="n">
        <v>0.792789339040816</v>
      </c>
      <c r="GB3" s="1" t="s">
        <v>213</v>
      </c>
      <c r="GC3" s="1" t="n">
        <v>1</v>
      </c>
      <c r="GD3" s="1" t="n">
        <v>0.60050505050505</v>
      </c>
      <c r="GE3" s="1" t="n">
        <v>0.993004405878989</v>
      </c>
      <c r="GF3" s="1" t="n">
        <v>0.967060250007218</v>
      </c>
      <c r="GG3" s="1" t="n">
        <v>1</v>
      </c>
      <c r="GH3" s="1" t="n">
        <v>0.761471490837929</v>
      </c>
      <c r="GI3" s="1" t="n">
        <v>0.988142292490119</v>
      </c>
      <c r="GJ3" s="1" t="n">
        <v>0.988142292490119</v>
      </c>
      <c r="GK3" s="1" t="n">
        <v>0.601621295043513</v>
      </c>
      <c r="GL3" s="1" t="n">
        <v>0.991735537190083</v>
      </c>
      <c r="GM3" s="1" t="n">
        <v>0.946969696969697</v>
      </c>
      <c r="GN3" s="1" t="n">
        <v>0.886002886002886</v>
      </c>
      <c r="GO3" s="1" t="s">
        <v>213</v>
      </c>
      <c r="GP3" s="1" t="n">
        <v>1</v>
      </c>
      <c r="GQ3" s="1" t="s">
        <v>213</v>
      </c>
      <c r="GR3" s="1" t="s">
        <v>213</v>
      </c>
      <c r="GS3" s="1" t="n">
        <v>0.0242424242424242</v>
      </c>
      <c r="GT3" s="1" t="n">
        <v>0.933310376492195</v>
      </c>
      <c r="GU3" s="1" t="s">
        <v>213</v>
      </c>
      <c r="GV3" s="1" t="s">
        <v>213</v>
      </c>
      <c r="GW3" s="1" t="n">
        <v>0.0368239355581128</v>
      </c>
      <c r="GX3" s="1" t="n">
        <v>0.950757575757576</v>
      </c>
      <c r="GY3" s="1" t="n">
        <v>0.4565216753896</v>
      </c>
      <c r="GZ3" s="1" t="n">
        <v>0.895353302611367</v>
      </c>
      <c r="HA3" s="1" t="n">
        <v>0.975252525252526</v>
      </c>
      <c r="HB3" s="1" t="n">
        <v>0.892657342657343</v>
      </c>
      <c r="HC3" s="1" t="n">
        <v>0.910541125541126</v>
      </c>
      <c r="HD3" s="1" t="n">
        <v>0.777522980080414</v>
      </c>
    </row>
    <row r="4" customFormat="false" ht="12.8" hidden="false" customHeight="false" outlineLevel="0" collapsed="false">
      <c r="A4" s="1" t="s">
        <v>215</v>
      </c>
      <c r="B4" s="1" t="n">
        <v>0.0817223527747415</v>
      </c>
      <c r="C4" s="1" t="n">
        <v>0.381000164697246</v>
      </c>
      <c r="D4" s="1" t="n">
        <v>0.675483110070573</v>
      </c>
      <c r="E4" s="1" t="n">
        <v>0.783144893182513</v>
      </c>
      <c r="F4" s="1" t="n">
        <v>0.638319288453322</v>
      </c>
      <c r="G4" s="1" t="n">
        <v>0.832504145936982</v>
      </c>
      <c r="H4" s="1" t="s">
        <v>213</v>
      </c>
      <c r="I4" s="1" t="s">
        <v>213</v>
      </c>
      <c r="J4" s="1" t="s">
        <v>213</v>
      </c>
      <c r="K4" s="1" t="s">
        <v>213</v>
      </c>
      <c r="L4" s="1" t="s">
        <v>213</v>
      </c>
      <c r="M4" s="1" t="s">
        <v>213</v>
      </c>
      <c r="N4" s="1" t="n">
        <v>0.529263220439691</v>
      </c>
      <c r="O4" s="1" t="n">
        <v>0.531192756866406</v>
      </c>
      <c r="P4" s="1" t="s">
        <v>213</v>
      </c>
      <c r="Q4" s="1" t="s">
        <v>213</v>
      </c>
      <c r="R4" s="1" t="n">
        <v>0.166340483188309</v>
      </c>
      <c r="S4" s="1" t="n">
        <v>0.939393939393939</v>
      </c>
      <c r="T4" s="1" t="s">
        <v>213</v>
      </c>
      <c r="U4" s="1" t="s">
        <v>213</v>
      </c>
      <c r="V4" s="1" t="n">
        <v>0.904531381930763</v>
      </c>
      <c r="W4" s="1" t="n">
        <v>0.961038961038961</v>
      </c>
      <c r="X4" s="1" t="n">
        <v>0.0934275184275185</v>
      </c>
      <c r="Y4" s="1" t="n">
        <v>0.320239592371705</v>
      </c>
      <c r="Z4" s="1" t="n">
        <v>0.296752429959977</v>
      </c>
      <c r="AA4" s="1" t="n">
        <v>0.00386847195357834</v>
      </c>
      <c r="AB4" s="1" t="n">
        <v>0.907888164467112</v>
      </c>
      <c r="AC4" s="1" t="n">
        <v>0.922077922077922</v>
      </c>
      <c r="AD4" s="1" t="n">
        <v>1</v>
      </c>
      <c r="AE4" s="1" t="n">
        <v>0.726203657812132</v>
      </c>
      <c r="AF4" s="1" t="s">
        <v>213</v>
      </c>
      <c r="AG4" s="1" t="n">
        <v>1</v>
      </c>
      <c r="AH4" s="1" t="n">
        <v>0.726948051948052</v>
      </c>
      <c r="AI4" s="1" t="n">
        <v>0.702669470117983</v>
      </c>
      <c r="AJ4" s="1" t="n">
        <v>0.9</v>
      </c>
      <c r="AK4" s="1" t="s">
        <v>213</v>
      </c>
      <c r="AL4" s="1" t="n">
        <v>0.987878787878788</v>
      </c>
      <c r="AM4" s="1" t="n">
        <v>0.982954545454546</v>
      </c>
      <c r="AN4" s="1" t="n">
        <v>0.994134897360704</v>
      </c>
      <c r="AO4" s="1" t="n">
        <v>0.618181818181818</v>
      </c>
      <c r="AP4" s="1" t="n">
        <v>0.804603119944029</v>
      </c>
      <c r="AQ4" s="1" t="n">
        <v>0.927272727272727</v>
      </c>
      <c r="AR4" s="1" t="s">
        <v>213</v>
      </c>
      <c r="AS4" s="1" t="n">
        <v>0.472591587516961</v>
      </c>
      <c r="AT4" s="1" t="n">
        <v>0.580555239503925</v>
      </c>
      <c r="AU4" s="1" t="s">
        <v>213</v>
      </c>
      <c r="AV4" s="1" t="s">
        <v>213</v>
      </c>
      <c r="AW4" s="1" t="n">
        <v>0.6940644193851</v>
      </c>
      <c r="AX4" s="1" t="n">
        <v>0.591692789968652</v>
      </c>
      <c r="AY4" s="1" t="n">
        <v>0.856565656565656</v>
      </c>
      <c r="AZ4" s="1" t="n">
        <v>0.825218125527723</v>
      </c>
      <c r="BA4" s="1" t="n">
        <v>0.343452380952381</v>
      </c>
      <c r="BB4" s="1" t="n">
        <v>0.698484848484849</v>
      </c>
      <c r="BC4" s="1" t="n">
        <v>0.836337867162675</v>
      </c>
      <c r="BD4" s="1" t="s">
        <v>213</v>
      </c>
      <c r="BE4" s="1" t="n">
        <v>0.439998504169627</v>
      </c>
      <c r="BF4" s="1" t="n">
        <v>0.940169133192389</v>
      </c>
      <c r="BG4" s="1" t="n">
        <v>0.898989898989899</v>
      </c>
      <c r="BH4" s="1" t="n">
        <v>1</v>
      </c>
      <c r="BI4" s="1" t="n">
        <v>0.926731022987708</v>
      </c>
      <c r="BJ4" s="1" t="s">
        <v>213</v>
      </c>
      <c r="BK4" s="1" t="n">
        <v>0.361149698302097</v>
      </c>
      <c r="BL4" s="1" t="n">
        <v>0.334140473818837</v>
      </c>
      <c r="BM4" s="1" t="n">
        <v>0.817937438905181</v>
      </c>
      <c r="BN4" s="1" t="s">
        <v>213</v>
      </c>
      <c r="BO4" s="1" t="n">
        <v>0.919191919191919</v>
      </c>
      <c r="BP4" s="1" t="n">
        <v>0.288962609016174</v>
      </c>
      <c r="BQ4" s="1" t="n">
        <v>0.967428293631502</v>
      </c>
      <c r="BR4" s="1" t="n">
        <v>0.868065268065268</v>
      </c>
      <c r="BS4" s="1" t="n">
        <v>0.0301693404634581</v>
      </c>
      <c r="BT4" s="1" t="n">
        <v>0.569569688934677</v>
      </c>
      <c r="BU4" s="1" t="n">
        <v>0.36274519435439</v>
      </c>
      <c r="BV4" s="1" t="n">
        <v>0.995670995670996</v>
      </c>
      <c r="BW4" s="1" t="n">
        <v>0.585991214667685</v>
      </c>
      <c r="BX4" s="1" t="n">
        <v>1</v>
      </c>
      <c r="BY4" s="1" t="n">
        <v>1</v>
      </c>
      <c r="BZ4" s="1" t="n">
        <v>1</v>
      </c>
      <c r="CA4" s="1" t="n">
        <v>0.715336315868662</v>
      </c>
      <c r="CB4" s="1" t="n">
        <v>0.608960506983088</v>
      </c>
      <c r="CC4" s="1" t="n">
        <v>0.708467507932749</v>
      </c>
      <c r="CD4" s="1" t="s">
        <v>213</v>
      </c>
      <c r="CE4" s="1" t="s">
        <v>213</v>
      </c>
      <c r="CF4" s="1" t="n">
        <v>0.0597201037217816</v>
      </c>
      <c r="CG4" s="1" t="n">
        <v>0.616954935532011</v>
      </c>
      <c r="CH4" s="1" t="n">
        <v>0.618353126374517</v>
      </c>
      <c r="CI4" s="1" t="n">
        <v>0.862537178326652</v>
      </c>
      <c r="CJ4" s="1" t="n">
        <v>1</v>
      </c>
      <c r="CK4" s="1" t="s">
        <v>213</v>
      </c>
      <c r="CL4" s="1" t="n">
        <v>0.65719696969697</v>
      </c>
      <c r="CM4" s="1" t="n">
        <v>0.724367827039383</v>
      </c>
      <c r="CN4" s="1" t="n">
        <v>0.779471169966253</v>
      </c>
      <c r="CO4" s="1" t="n">
        <v>0.850247174409854</v>
      </c>
      <c r="CP4" s="1" t="n">
        <v>0.32553910309526</v>
      </c>
      <c r="CQ4" s="1" t="n">
        <v>0.727272727272727</v>
      </c>
      <c r="CR4" s="1" t="n">
        <v>0.433406255064009</v>
      </c>
      <c r="CS4" s="1" t="s">
        <v>213</v>
      </c>
      <c r="CT4" s="1" t="n">
        <v>0.881557314159195</v>
      </c>
      <c r="CU4" s="1" t="n">
        <v>0.0974801216779467</v>
      </c>
      <c r="CV4" s="1" t="n">
        <v>0.69217200886411</v>
      </c>
      <c r="CW4" s="1" t="n">
        <v>0.366477272727273</v>
      </c>
      <c r="CX4" s="1" t="s">
        <v>213</v>
      </c>
      <c r="CY4" s="1" t="s">
        <v>213</v>
      </c>
      <c r="CZ4" s="1" t="n">
        <v>0.600884520884521</v>
      </c>
      <c r="DA4" s="1" t="n">
        <v>0.274325068870523</v>
      </c>
      <c r="DB4" s="1" t="n">
        <v>0.841316912439907</v>
      </c>
      <c r="DC4" s="1" t="n">
        <v>0.592727272727273</v>
      </c>
      <c r="DD4" s="1" t="n">
        <v>1</v>
      </c>
      <c r="DE4" s="1" t="n">
        <v>0.878980986333927</v>
      </c>
      <c r="DF4" s="1" t="n">
        <v>0.227807486631016</v>
      </c>
      <c r="DG4" s="1" t="s">
        <v>213</v>
      </c>
      <c r="DH4" s="1" t="s">
        <v>213</v>
      </c>
      <c r="DI4" s="1" t="n">
        <v>1</v>
      </c>
      <c r="DJ4" s="1" t="n">
        <v>0.915056818181818</v>
      </c>
      <c r="DK4" s="1" t="s">
        <v>213</v>
      </c>
      <c r="DL4" s="1" t="n">
        <v>0.708594037541406</v>
      </c>
      <c r="DM4" s="1" t="n">
        <v>0.744285698352684</v>
      </c>
      <c r="DN4" s="1" t="n">
        <v>0.456300898757378</v>
      </c>
      <c r="DO4" s="1" t="n">
        <v>0.667045454545455</v>
      </c>
      <c r="DP4" s="1" t="n">
        <v>0.858138843806433</v>
      </c>
      <c r="DQ4" s="1" t="s">
        <v>213</v>
      </c>
      <c r="DR4" s="1" t="n">
        <v>0.870734305014517</v>
      </c>
      <c r="DS4" s="1" t="n">
        <v>0.860272554769708</v>
      </c>
      <c r="DT4" s="1" t="n">
        <v>0.909090909090909</v>
      </c>
      <c r="DU4" s="1" t="n">
        <v>0.339292659212445</v>
      </c>
      <c r="DV4" s="1" t="n">
        <v>0.767441860465116</v>
      </c>
      <c r="DW4" s="1" t="s">
        <v>213</v>
      </c>
      <c r="DX4" s="1" t="n">
        <v>0.356229464570097</v>
      </c>
      <c r="DY4" s="1" t="s">
        <v>213</v>
      </c>
      <c r="DZ4" s="1" t="n">
        <v>0.974921630094044</v>
      </c>
      <c r="EA4" s="1" t="n">
        <v>0.198135198135198</v>
      </c>
      <c r="EB4" s="1" t="n">
        <v>0.909090909090909</v>
      </c>
      <c r="EC4" s="1" t="n">
        <v>0.453892484327267</v>
      </c>
      <c r="ED4" s="1" t="n">
        <v>0.800576021832774</v>
      </c>
      <c r="EE4" s="1" t="n">
        <v>0.821964991530209</v>
      </c>
      <c r="EF4" s="1" t="n">
        <v>0.629684394552816</v>
      </c>
      <c r="EG4" s="1" t="n">
        <v>0.886093073593074</v>
      </c>
      <c r="EH4" s="1" t="n">
        <v>1</v>
      </c>
      <c r="EI4" s="1" t="n">
        <v>0.591051887926888</v>
      </c>
      <c r="EJ4" s="1" t="n">
        <v>1</v>
      </c>
      <c r="EK4" s="1" t="n">
        <v>0.992424242424243</v>
      </c>
      <c r="EL4" s="1" t="s">
        <v>213</v>
      </c>
      <c r="EM4" s="1" t="n">
        <v>0.877725640883535</v>
      </c>
      <c r="EN4" s="1" t="n">
        <v>0.885730717320431</v>
      </c>
      <c r="EO4" s="1" t="s">
        <v>213</v>
      </c>
      <c r="EP4" s="1" t="n">
        <v>0.67004684501064</v>
      </c>
      <c r="EQ4" s="1" t="n">
        <v>1</v>
      </c>
      <c r="ER4" s="1" t="n">
        <v>0.693764380172147</v>
      </c>
      <c r="ES4" s="1" t="n">
        <v>0.991735537190083</v>
      </c>
      <c r="ET4" s="1" t="n">
        <v>0.981818181818182</v>
      </c>
      <c r="EU4" s="1" t="s">
        <v>213</v>
      </c>
      <c r="EV4" s="1" t="s">
        <v>213</v>
      </c>
      <c r="EW4" s="1" t="n">
        <v>0.736560991238788</v>
      </c>
      <c r="EX4" s="1" t="n">
        <v>0.595950509801691</v>
      </c>
      <c r="EY4" s="1" t="n">
        <v>0.0934579439252336</v>
      </c>
      <c r="EZ4" s="1" t="n">
        <v>0.807026640443411</v>
      </c>
      <c r="FA4" s="1" t="s">
        <v>213</v>
      </c>
      <c r="FB4" s="1" t="n">
        <v>0.960983460983461</v>
      </c>
      <c r="FC4" s="1" t="n">
        <v>0.992094861660079</v>
      </c>
      <c r="FD4" s="1" t="n">
        <v>0.81780303030303</v>
      </c>
      <c r="FE4" s="1" t="n">
        <v>0.600581260172053</v>
      </c>
      <c r="FF4" s="1" t="s">
        <v>213</v>
      </c>
      <c r="FG4" s="1" t="n">
        <v>0.968181818181818</v>
      </c>
      <c r="FH4" s="1" t="n">
        <v>0.469710934227063</v>
      </c>
      <c r="FI4" s="1" t="n">
        <v>0.662297737396552</v>
      </c>
      <c r="FJ4" s="1" t="n">
        <v>0.680788177339901</v>
      </c>
      <c r="FK4" s="1" t="n">
        <v>0.780058651026393</v>
      </c>
      <c r="FL4" s="1" t="s">
        <v>213</v>
      </c>
      <c r="FM4" s="1" t="s">
        <v>213</v>
      </c>
      <c r="FN4" s="1" t="n">
        <v>0.896103896103896</v>
      </c>
      <c r="FO4" s="1" t="n">
        <v>0.967741935483871</v>
      </c>
      <c r="FP4" s="1" t="n">
        <v>0.140619191475581</v>
      </c>
      <c r="FQ4" s="1" t="n">
        <v>0.869949494949495</v>
      </c>
      <c r="FR4" s="1" t="n">
        <v>0.623517786561265</v>
      </c>
      <c r="FS4" s="1" t="n">
        <v>0.75210973963531</v>
      </c>
      <c r="FT4" s="1" t="n">
        <v>0.795144845219361</v>
      </c>
      <c r="FU4" s="1" t="n">
        <v>1</v>
      </c>
      <c r="FV4" s="1" t="n">
        <v>0.897233201581028</v>
      </c>
      <c r="FW4" s="1" t="n">
        <v>0.995670995670996</v>
      </c>
      <c r="FX4" s="1" t="n">
        <v>0.844919786096257</v>
      </c>
      <c r="FY4" s="1" t="n">
        <v>0.54747549212189</v>
      </c>
      <c r="FZ4" s="1" t="n">
        <v>0.637273780728232</v>
      </c>
      <c r="GA4" s="1" t="n">
        <v>0.681219307701521</v>
      </c>
      <c r="GB4" s="1" t="s">
        <v>213</v>
      </c>
      <c r="GC4" s="1" t="n">
        <v>0.995670995670996</v>
      </c>
      <c r="GD4" s="1" t="n">
        <v>0.789616462636991</v>
      </c>
      <c r="GE4" s="1" t="n">
        <v>0.901818181818182</v>
      </c>
      <c r="GF4" s="1" t="n">
        <v>0.961199779856907</v>
      </c>
      <c r="GG4" s="1" t="n">
        <v>1</v>
      </c>
      <c r="GH4" s="1" t="n">
        <v>0.767676767676768</v>
      </c>
      <c r="GI4" s="1" t="n">
        <v>0.9105308027101</v>
      </c>
      <c r="GJ4" s="1" t="n">
        <v>0.870452089968991</v>
      </c>
      <c r="GK4" s="1" t="n">
        <v>0.664245882538908</v>
      </c>
      <c r="GL4" s="1" t="n">
        <v>0.991735537190083</v>
      </c>
      <c r="GM4" s="1" t="n">
        <v>0.981818181818182</v>
      </c>
      <c r="GN4" s="1" t="n">
        <v>0.874108734402852</v>
      </c>
      <c r="GO4" s="1" t="s">
        <v>213</v>
      </c>
      <c r="GP4" s="1" t="n">
        <v>0.940438871473354</v>
      </c>
      <c r="GQ4" s="1" t="s">
        <v>213</v>
      </c>
      <c r="GR4" s="1" t="s">
        <v>213</v>
      </c>
      <c r="GS4" s="1" t="n">
        <v>0.926599326599327</v>
      </c>
      <c r="GT4" s="1" t="n">
        <v>1</v>
      </c>
      <c r="GU4" s="1" t="s">
        <v>213</v>
      </c>
      <c r="GV4" s="1" t="s">
        <v>213</v>
      </c>
      <c r="GW4" s="1" t="n">
        <v>0.0903098570182425</v>
      </c>
      <c r="GX4" s="1" t="n">
        <v>0.909090909090909</v>
      </c>
      <c r="GY4" s="1" t="n">
        <v>0.634779614325069</v>
      </c>
      <c r="GZ4" s="1" t="n">
        <v>0.416931690679298</v>
      </c>
      <c r="HA4" s="1" t="n">
        <v>0.89884783718933</v>
      </c>
      <c r="HB4" s="1" t="n">
        <v>0.896018455228982</v>
      </c>
      <c r="HC4" s="1" t="n">
        <v>0.694098956598957</v>
      </c>
      <c r="HD4" s="1" t="n">
        <v>0.719446225264834</v>
      </c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</row>
    <row r="6" customFormat="false" ht="12.8" hidden="false" customHeight="false" outlineLevel="0" collapsed="false">
      <c r="A6" s="1" t="s">
        <v>216</v>
      </c>
      <c r="B6" s="1" t="n">
        <f aca="false">B2-B3</f>
        <v>0.112791936346347</v>
      </c>
      <c r="C6" s="1" t="n">
        <f aca="false">C2-C3</f>
        <v>0.589262407958602</v>
      </c>
      <c r="D6" s="1" t="n">
        <f aca="false">D2-D3</f>
        <v>0.0864822685750241</v>
      </c>
      <c r="E6" s="1" t="n">
        <f aca="false">E2-E3</f>
        <v>-0.152924169228517</v>
      </c>
      <c r="F6" s="1" t="n">
        <f aca="false">F2-F3</f>
        <v>0.419934166374627</v>
      </c>
      <c r="G6" s="1" t="n">
        <f aca="false">G2-G3</f>
        <v>0.00346167242719009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f aca="false">N2-N3</f>
        <v>0.219817409935987</v>
      </c>
      <c r="O6" s="1" t="n">
        <f aca="false">O2-O3</f>
        <v>0.21075723460328</v>
      </c>
      <c r="P6" s="1" t="n">
        <v>0</v>
      </c>
      <c r="Q6" s="1" t="n">
        <v>0</v>
      </c>
      <c r="R6" s="1" t="n">
        <f aca="false">R2-R3</f>
        <v>0.00174329103390802</v>
      </c>
      <c r="S6" s="1" t="n">
        <f aca="false">S2-S3</f>
        <v>-0.014335664335665</v>
      </c>
      <c r="T6" s="1" t="n">
        <v>0</v>
      </c>
      <c r="U6" s="1" t="n">
        <v>0</v>
      </c>
      <c r="V6" s="1" t="n">
        <f aca="false">V2-V3</f>
        <v>0.0877167019027479</v>
      </c>
      <c r="W6" s="1" t="n">
        <f aca="false">W2-W3</f>
        <v>0.0527591427711039</v>
      </c>
      <c r="X6" s="1" t="n">
        <f aca="false">X2-X3</f>
        <v>0.286454986454986</v>
      </c>
      <c r="Y6" s="1" t="n">
        <f aca="false">Y2-Y3</f>
        <v>0.234620174346202</v>
      </c>
      <c r="Z6" s="1" t="n">
        <f aca="false">Z2-Z3</f>
        <v>0.5608699476624</v>
      </c>
      <c r="AA6" s="1" t="n">
        <f aca="false">AA2-AA3</f>
        <v>0.276929625445292</v>
      </c>
      <c r="AB6" s="1" t="n">
        <f aca="false">AB2-AB3</f>
        <v>-0.039848249836289</v>
      </c>
      <c r="AC6" s="1" t="n">
        <f aca="false">AC2-AC3</f>
        <v>0.101403646858193</v>
      </c>
      <c r="AD6" s="1" t="n">
        <f aca="false">AD2-AD3</f>
        <v>0</v>
      </c>
      <c r="AE6" s="1" t="n">
        <f aca="false">AE2-AE3</f>
        <v>0.156655844155844</v>
      </c>
      <c r="AF6" s="1" t="n">
        <v>0</v>
      </c>
      <c r="AG6" s="1" t="n">
        <f aca="false">AG2-AG3</f>
        <v>0</v>
      </c>
      <c r="AH6" s="1" t="n">
        <f aca="false">AH2-AH3</f>
        <v>0.43606938954765</v>
      </c>
      <c r="AI6" s="1" t="n">
        <f aca="false">AI2-AI3</f>
        <v>-0.203660711140367</v>
      </c>
      <c r="AJ6" s="1" t="n">
        <f aca="false">AJ2-AJ3</f>
        <v>-0.097643097643098</v>
      </c>
      <c r="AK6" s="1" t="n">
        <v>0</v>
      </c>
      <c r="AL6" s="1" t="n">
        <f aca="false">AL2-AL3</f>
        <v>-0.235035885167464</v>
      </c>
      <c r="AM6" s="1" t="n">
        <f aca="false">AM2-AM3</f>
        <v>-0.0909090909090909</v>
      </c>
      <c r="AN6" s="1" t="n">
        <f aca="false">AN2-AN3</f>
        <v>-0.189090909090909</v>
      </c>
      <c r="AO6" s="1" t="n">
        <f aca="false">AO2-AO3</f>
        <v>-0.199682363706753</v>
      </c>
      <c r="AP6" s="1" t="n">
        <f aca="false">AP2-AP3</f>
        <v>-0.036289951183568</v>
      </c>
      <c r="AQ6" s="1" t="n">
        <f aca="false">AQ2-AQ3</f>
        <v>-0.181818181818182</v>
      </c>
      <c r="AR6" s="1" t="n">
        <v>0</v>
      </c>
      <c r="AS6" s="1" t="n">
        <f aca="false">AS2-AS3</f>
        <v>-0.0661689357341531</v>
      </c>
      <c r="AT6" s="1" t="n">
        <f aca="false">AT2-AT3</f>
        <v>0.0909090909090909</v>
      </c>
      <c r="AU6" s="1" t="n">
        <v>0</v>
      </c>
      <c r="AV6" s="1" t="n">
        <v>0</v>
      </c>
      <c r="AW6" s="1" t="n">
        <f aca="false">AW2-AW3</f>
        <v>-0.086124401913876</v>
      </c>
      <c r="AX6" s="1" t="n">
        <f aca="false">AX2-AX3</f>
        <v>0.023048668503214</v>
      </c>
      <c r="AY6" s="1" t="n">
        <f aca="false">AY2-AY3</f>
        <v>-0.0704944178628389</v>
      </c>
      <c r="AZ6" s="1" t="n">
        <f aca="false">AZ2-AZ3</f>
        <v>-0.056818181818182</v>
      </c>
      <c r="BA6" s="1" t="n">
        <f aca="false">BA2-BA3</f>
        <v>-0.065656565656565</v>
      </c>
      <c r="BB6" s="1" t="n">
        <f aca="false">BB2-BB3</f>
        <v>-0.127270763680448</v>
      </c>
      <c r="BC6" s="1" t="n">
        <f aca="false">BC2-BC3</f>
        <v>-0.184174731799408</v>
      </c>
      <c r="BD6" s="1" t="n">
        <v>0</v>
      </c>
      <c r="BE6" s="1" t="n">
        <f aca="false">BE2-BE3</f>
        <v>-0.147907647907648</v>
      </c>
      <c r="BF6" s="1" t="n">
        <f aca="false">BF2-BF3</f>
        <v>0.0484481175390269</v>
      </c>
      <c r="BG6" s="1" t="n">
        <f aca="false">BG2-BG3</f>
        <v>0.00363636363636299</v>
      </c>
      <c r="BH6" s="1" t="n">
        <f aca="false">BH2-BH3</f>
        <v>0</v>
      </c>
      <c r="BI6" s="1" t="n">
        <f aca="false">BI2-BI3</f>
        <v>0</v>
      </c>
      <c r="BJ6" s="1" t="n">
        <v>0</v>
      </c>
      <c r="BK6" s="1" t="n">
        <f aca="false">BK2-BK3</f>
        <v>-0.42938608246857</v>
      </c>
      <c r="BL6" s="1" t="n">
        <f aca="false">BL2-BL3</f>
        <v>0</v>
      </c>
      <c r="BM6" s="1" t="n">
        <f aca="false">BM2-BM3</f>
        <v>0.121672187461661</v>
      </c>
      <c r="BN6" s="1" t="n">
        <v>0</v>
      </c>
      <c r="BO6" s="1" t="n">
        <f aca="false">BO2-BO3</f>
        <v>-0.0918350168350171</v>
      </c>
      <c r="BP6" s="1" t="n">
        <f aca="false">BP2-BP3</f>
        <v>-0.0471560525036461</v>
      </c>
      <c r="BQ6" s="1" t="n">
        <f aca="false">BQ2-BQ3</f>
        <v>0.226164170136395</v>
      </c>
      <c r="BR6" s="1" t="n">
        <f aca="false">BR2-BR3</f>
        <v>0.360655571212756</v>
      </c>
      <c r="BS6" s="1" t="n">
        <f aca="false">BS2-BS3</f>
        <v>0.129770879526977</v>
      </c>
      <c r="BT6" s="1" t="n">
        <f aca="false">BT2-BT3</f>
        <v>0.257219750058625</v>
      </c>
      <c r="BU6" s="1" t="n">
        <f aca="false">BU2-BU3</f>
        <v>0.27310988674625</v>
      </c>
      <c r="BV6" s="1" t="n">
        <f aca="false">BV2-BV3</f>
        <v>0</v>
      </c>
      <c r="BW6" s="1" t="n">
        <f aca="false">BW2-BW3</f>
        <v>0.670631987705159</v>
      </c>
      <c r="BX6" s="1" t="n">
        <f aca="false">BX2-BX3</f>
        <v>0</v>
      </c>
      <c r="BY6" s="1" t="n">
        <f aca="false">BY2-BY3</f>
        <v>0</v>
      </c>
      <c r="BZ6" s="1" t="n">
        <f aca="false">BZ2-BZ3</f>
        <v>0</v>
      </c>
      <c r="CA6" s="1" t="n">
        <f aca="false">CA2-CA3</f>
        <v>0.00470640899210195</v>
      </c>
      <c r="CB6" s="1" t="n">
        <f aca="false">CB2-CB3</f>
        <v>0.107611153040168</v>
      </c>
      <c r="CC6" s="1" t="n">
        <f aca="false">CC2-CC3</f>
        <v>0.221817240214125</v>
      </c>
      <c r="CD6" s="1" t="n">
        <v>0</v>
      </c>
      <c r="CE6" s="1" t="n">
        <v>0</v>
      </c>
      <c r="CF6" s="1" t="n">
        <f aca="false">CF2-CF3</f>
        <v>-0.205351327697132</v>
      </c>
      <c r="CG6" s="1" t="n">
        <f aca="false">CG2-CG3</f>
        <v>0.0161168930679919</v>
      </c>
      <c r="CH6" s="1" t="n">
        <f aca="false">CH2-CH3</f>
        <v>-0.025391469536345</v>
      </c>
      <c r="CI6" s="1" t="n">
        <f aca="false">CI2-CI3</f>
        <v>0.18740440845704</v>
      </c>
      <c r="CJ6" s="1" t="n">
        <f aca="false">CJ2-CJ3</f>
        <v>-0.00826446280991688</v>
      </c>
      <c r="CK6" s="1" t="n">
        <v>0</v>
      </c>
      <c r="CL6" s="1" t="n">
        <f aca="false">CL2-CL3</f>
        <v>0.226773226773227</v>
      </c>
      <c r="CM6" s="1" t="n">
        <f aca="false">CM2-CM3</f>
        <v>-0.08300395256917</v>
      </c>
      <c r="CN6" s="1" t="n">
        <f aca="false">CN2-CN3</f>
        <v>0.244692981056618</v>
      </c>
      <c r="CO6" s="1" t="n">
        <f aca="false">CO2-CO3</f>
        <v>0.278768334775873</v>
      </c>
      <c r="CP6" s="1" t="n">
        <f aca="false">CP2-CP3</f>
        <v>0.464861155105057</v>
      </c>
      <c r="CQ6" s="1" t="n">
        <f aca="false">CQ2-CQ3</f>
        <v>0.058294232649071</v>
      </c>
      <c r="CR6" s="1" t="n">
        <f aca="false">CR2-CR3</f>
        <v>0.216893780184919</v>
      </c>
      <c r="CS6" s="1" t="n">
        <v>0</v>
      </c>
      <c r="CT6" s="1" t="n">
        <f aca="false">CT2-CT3</f>
        <v>0.015810276679842</v>
      </c>
      <c r="CU6" s="1" t="n">
        <f aca="false">CU2-CU3</f>
        <v>0.265046011370963</v>
      </c>
      <c r="CV6" s="1" t="n">
        <f aca="false">CV2-CV3</f>
        <v>0.0237196948944821</v>
      </c>
      <c r="CW6" s="1" t="n">
        <f aca="false">CW2-CW3</f>
        <v>0.268595041322314</v>
      </c>
      <c r="CX6" s="1" t="n">
        <v>0</v>
      </c>
      <c r="CY6" s="1" t="n">
        <v>0</v>
      </c>
      <c r="CZ6" s="1" t="n">
        <f aca="false">CZ2-CZ3</f>
        <v>-0.061571955949978</v>
      </c>
      <c r="DA6" s="1" t="n">
        <f aca="false">DA2-DA3</f>
        <v>-0.166666666666666</v>
      </c>
      <c r="DB6" s="1" t="n">
        <f aca="false">DB2-DB3</f>
        <v>0.160756587623355</v>
      </c>
      <c r="DC6" s="1" t="n">
        <f aca="false">DC2-DC3</f>
        <v>-0.073147296358128</v>
      </c>
      <c r="DD6" s="1" t="n">
        <f aca="false">DD2-DD3</f>
        <v>0</v>
      </c>
      <c r="DE6" s="1" t="n">
        <f aca="false">DE2-DE3</f>
        <v>0.10871262887682</v>
      </c>
      <c r="DF6" s="1" t="n">
        <f aca="false">DF2-DF3</f>
        <v>0.378874831529065</v>
      </c>
      <c r="DG6" s="1" t="n">
        <v>0</v>
      </c>
      <c r="DH6" s="1" t="n">
        <v>0</v>
      </c>
      <c r="DI6" s="1" t="n">
        <f aca="false">DI2-DI3</f>
        <v>0.162643239113827</v>
      </c>
      <c r="DJ6" s="1" t="n">
        <f aca="false">DJ2-DJ3</f>
        <v>0.021818181818182</v>
      </c>
      <c r="DK6" s="1" t="n">
        <v>0</v>
      </c>
      <c r="DL6" s="1" t="n">
        <f aca="false">DL2-DL3</f>
        <v>0.547233417923073</v>
      </c>
      <c r="DM6" s="1" t="n">
        <f aca="false">DM2-DM3</f>
        <v>0.199101831414085</v>
      </c>
      <c r="DN6" s="1" t="n">
        <f aca="false">DN2-DN3</f>
        <v>-0.018019857014164</v>
      </c>
      <c r="DO6" s="1" t="n">
        <f aca="false">DO2-DO3</f>
        <v>-0.054325867369345</v>
      </c>
      <c r="DP6" s="1" t="n">
        <f aca="false">DP2-DP3</f>
        <v>-0.603965183752418</v>
      </c>
      <c r="DQ6" s="1" t="n">
        <v>0</v>
      </c>
      <c r="DR6" s="1" t="n">
        <f aca="false">DR2-DR3</f>
        <v>0.00826446280991688</v>
      </c>
      <c r="DS6" s="1" t="n">
        <f aca="false">DS2-DS3</f>
        <v>-0.317321867321868</v>
      </c>
      <c r="DT6" s="1" t="n">
        <f aca="false">DT2-DT3</f>
        <v>-0.609090909090909</v>
      </c>
      <c r="DU6" s="1" t="n">
        <f aca="false">DU2-DU3</f>
        <v>-0.246340960626675</v>
      </c>
      <c r="DV6" s="1" t="n">
        <f aca="false">DV2-DV3</f>
        <v>0.178030303030303</v>
      </c>
      <c r="DW6" s="1" t="n">
        <v>0</v>
      </c>
      <c r="DX6" s="1" t="n">
        <f aca="false">DX2-DX3</f>
        <v>-0.0778459013753129</v>
      </c>
      <c r="DY6" s="1" t="n">
        <v>0</v>
      </c>
      <c r="DZ6" s="1" t="n">
        <f aca="false">DZ2-DZ3</f>
        <v>0.241642546114687</v>
      </c>
      <c r="EA6" s="1" t="n">
        <f aca="false">EA2-EA3</f>
        <v>0.266044508007572</v>
      </c>
      <c r="EB6" s="1" t="n">
        <f aca="false">EB2-EB3</f>
        <v>0.137662590853852</v>
      </c>
      <c r="EC6" s="1" t="n">
        <f aca="false">EC2-EC3</f>
        <v>0.017889420521</v>
      </c>
      <c r="ED6" s="1" t="n">
        <f aca="false">ED2-ED3</f>
        <v>-0.106516719994981</v>
      </c>
      <c r="EE6" s="1" t="n">
        <f aca="false">EE2-EE3</f>
        <v>-0.02524064171123</v>
      </c>
      <c r="EF6" s="1" t="n">
        <f aca="false">EF2-EF3</f>
        <v>0.230802139037433</v>
      </c>
      <c r="EG6" s="1" t="n">
        <f aca="false">EG2-EG3</f>
        <v>-0.15909090909091</v>
      </c>
      <c r="EH6" s="1" t="n">
        <f aca="false">EH2-EH3</f>
        <v>-0.103896103896104</v>
      </c>
      <c r="EI6" s="1" t="n">
        <f aca="false">EI2-EI3</f>
        <v>-0.274326525746981</v>
      </c>
      <c r="EJ6" s="1" t="n">
        <f aca="false">EJ2-EJ3</f>
        <v>0</v>
      </c>
      <c r="EK6" s="1" t="n">
        <f aca="false">EK2-EK3</f>
        <v>-0.176515151515152</v>
      </c>
      <c r="EL6" s="1" t="n">
        <v>0</v>
      </c>
      <c r="EM6" s="1" t="n">
        <f aca="false">EM2-EM3</f>
        <v>-0.086580086580087</v>
      </c>
      <c r="EN6" s="1" t="n">
        <f aca="false">EN2-EN3</f>
        <v>-0.176107436955335</v>
      </c>
      <c r="EO6" s="1" t="n">
        <v>0</v>
      </c>
      <c r="EP6" s="1" t="n">
        <f aca="false">EP2-EP3</f>
        <v>-0.328499278499278</v>
      </c>
      <c r="EQ6" s="1" t="n">
        <f aca="false">EQ2-EQ3</f>
        <v>-0.0180864589955491</v>
      </c>
      <c r="ER6" s="1" t="n">
        <f aca="false">ER2-ER3</f>
        <v>0</v>
      </c>
      <c r="ES6" s="1" t="n">
        <f aca="false">ES2-ES3</f>
        <v>-0.094640552145623</v>
      </c>
      <c r="ET6" s="1" t="n">
        <f aca="false">ET2-ET3</f>
        <v>0</v>
      </c>
      <c r="EU6" s="1" t="n">
        <v>0</v>
      </c>
      <c r="EV6" s="1" t="n">
        <v>0</v>
      </c>
      <c r="EW6" s="1" t="n">
        <f aca="false">EW2-EW3</f>
        <v>0.395520728008089</v>
      </c>
      <c r="EX6" s="1" t="n">
        <f aca="false">EX2-EX3</f>
        <v>-0.117651166038263</v>
      </c>
      <c r="EY6" s="1" t="n">
        <f aca="false">EY2-EY3</f>
        <v>0.00826446280991688</v>
      </c>
      <c r="EZ6" s="1" t="n">
        <f aca="false">EZ2-EZ3</f>
        <v>0.089121023903633</v>
      </c>
      <c r="FA6" s="1" t="n">
        <v>0</v>
      </c>
      <c r="FB6" s="1" t="n">
        <f aca="false">FB2-FB3</f>
        <v>0.000733688233688024</v>
      </c>
      <c r="FC6" s="1" t="n">
        <f aca="false">FC2-FC3</f>
        <v>-0.161904761904762</v>
      </c>
      <c r="FD6" s="1" t="n">
        <f aca="false">FD2-FD3</f>
        <v>0.037520434530401</v>
      </c>
      <c r="FE6" s="1" t="n">
        <f aca="false">FE2-FE3</f>
        <v>0.00956937799043001</v>
      </c>
      <c r="FF6" s="1" t="n">
        <v>0</v>
      </c>
      <c r="FG6" s="1" t="n">
        <f aca="false">FG2-FG3</f>
        <v>0.137573789846517</v>
      </c>
      <c r="FH6" s="1" t="n">
        <f aca="false">FH2-FH3</f>
        <v>0.0888771515565781</v>
      </c>
      <c r="FI6" s="1" t="n">
        <f aca="false">FI2-FI3</f>
        <v>-0.410818923581561</v>
      </c>
      <c r="FJ6" s="1" t="n">
        <f aca="false">FJ2-FJ3</f>
        <v>0.344621466240092</v>
      </c>
      <c r="FK6" s="1" t="n">
        <f aca="false">FK2-FK3</f>
        <v>0.063048123306373</v>
      </c>
      <c r="FL6" s="1" t="n">
        <v>0</v>
      </c>
      <c r="FM6" s="1" t="n">
        <v>0</v>
      </c>
      <c r="FN6" s="1" t="n">
        <f aca="false">FN2-FN3</f>
        <v>-0.361865407319953</v>
      </c>
      <c r="FO6" s="1" t="n">
        <f aca="false">FO2-FO3</f>
        <v>-0.776412776412776</v>
      </c>
      <c r="FP6" s="1" t="n">
        <f aca="false">FP2-FP3</f>
        <v>-0.11158009418622</v>
      </c>
      <c r="FQ6" s="1" t="n">
        <f aca="false">FQ2-FQ3</f>
        <v>-0.430821371610845</v>
      </c>
      <c r="FR6" s="1" t="n">
        <f aca="false">FR2-FR3</f>
        <v>0.117278554778555</v>
      </c>
      <c r="FS6" s="1" t="n">
        <f aca="false">FS2-FS3</f>
        <v>0.996969696969697</v>
      </c>
      <c r="FT6" s="1" t="n">
        <f aca="false">FT2-FT3</f>
        <v>-0.132373832918055</v>
      </c>
      <c r="FU6" s="1" t="n">
        <f aca="false">FU2-FU3</f>
        <v>-0.220454545454545</v>
      </c>
      <c r="FV6" s="1" t="n">
        <f aca="false">FV2-FV3</f>
        <v>0.093224737493512</v>
      </c>
      <c r="FW6" s="1" t="n">
        <f aca="false">FW2-FW3</f>
        <v>0</v>
      </c>
      <c r="FX6" s="1" t="n">
        <f aca="false">FX2-FX3</f>
        <v>0.159826481634992</v>
      </c>
      <c r="FY6" s="1" t="n">
        <f aca="false">FY2-FY3</f>
        <v>0.409311024405364</v>
      </c>
      <c r="FZ6" s="1" t="n">
        <f aca="false">FZ2-FZ3</f>
        <v>0.188945662976351</v>
      </c>
      <c r="GA6" s="1" t="n">
        <f aca="false">GA2-GA3</f>
        <v>-0.118383744635222</v>
      </c>
      <c r="GB6" s="1" t="n">
        <v>0</v>
      </c>
      <c r="GC6" s="1" t="n">
        <f aca="false">GC2-GC3</f>
        <v>0</v>
      </c>
      <c r="GD6" s="1" t="n">
        <f aca="false">GD2-GD3</f>
        <v>0.0755867304254411</v>
      </c>
      <c r="GE6" s="1" t="n">
        <f aca="false">GE2-GE3</f>
        <v>-0.085768784357653</v>
      </c>
      <c r="GF6" s="1" t="n">
        <f aca="false">GF2-GF3</f>
        <v>0.029229174853636</v>
      </c>
      <c r="GG6" s="1" t="n">
        <f aca="false">GG2-GG3</f>
        <v>-0.00189393939393889</v>
      </c>
      <c r="GH6" s="1" t="n">
        <f aca="false">GH2-GH3</f>
        <v>-0.128040405793941</v>
      </c>
      <c r="GI6" s="1" t="n">
        <f aca="false">GI2-GI3</f>
        <v>0.00752870318087695</v>
      </c>
      <c r="GJ6" s="1" t="n">
        <f aca="false">GJ2-GJ3</f>
        <v>-0.016496005054358</v>
      </c>
      <c r="GK6" s="1" t="n">
        <f aca="false">GK2-GK3</f>
        <v>-0.601621295043513</v>
      </c>
      <c r="GL6" s="1" t="n">
        <f aca="false">GL2-GL3</f>
        <v>0.00826446280991688</v>
      </c>
      <c r="GM6" s="1" t="n">
        <f aca="false">GM2-GM3</f>
        <v>0.0530303030303029</v>
      </c>
      <c r="GN6" s="1" t="n">
        <f aca="false">GN2-GN3</f>
        <v>0.113997113997114</v>
      </c>
      <c r="GO6" s="1" t="n">
        <v>0</v>
      </c>
      <c r="GP6" s="1" t="n">
        <f aca="false">GP2-GP3</f>
        <v>-0.0340909090909089</v>
      </c>
      <c r="GQ6" s="1" t="n">
        <v>0</v>
      </c>
      <c r="GR6" s="1" t="n">
        <v>0</v>
      </c>
      <c r="GS6" s="1" t="n">
        <f aca="false">GS2-GS3</f>
        <v>-0.0242424242424242</v>
      </c>
      <c r="GT6" s="1" t="n">
        <f aca="false">GT2-GT3</f>
        <v>0.0666896235078049</v>
      </c>
      <c r="GU6" s="1" t="n">
        <v>0</v>
      </c>
      <c r="GV6" s="1" t="n">
        <v>0</v>
      </c>
      <c r="GW6" s="1" t="n">
        <f aca="false">GW2-GW3</f>
        <v>-0.0368239355581128</v>
      </c>
      <c r="GX6" s="1" t="n">
        <f aca="false">GX2-GX3</f>
        <v>0.025284181528201</v>
      </c>
      <c r="GY6" s="1" t="n">
        <f aca="false">GY2-GY3</f>
        <v>-0.001976220844145</v>
      </c>
      <c r="GZ6" s="1" t="n">
        <f aca="false">GZ2-GZ3</f>
        <v>0.104646697388633</v>
      </c>
      <c r="HA6" s="1" t="n">
        <f aca="false">HA2-HA3</f>
        <v>0.024747474747474</v>
      </c>
      <c r="HB6" s="1" t="n">
        <f aca="false">HB2-HB3</f>
        <v>0.107342657342657</v>
      </c>
      <c r="HC6" s="1" t="n">
        <f aca="false">HC2-HC3</f>
        <v>0.0894588744588739</v>
      </c>
      <c r="HD6" s="1" t="n">
        <f aca="false">HD2-HD3</f>
        <v>0.0268827547596159</v>
      </c>
    </row>
    <row r="7" customFormat="false" ht="12.8" hidden="false" customHeight="false" outlineLevel="0" collapsed="false">
      <c r="A7" s="1" t="s">
        <v>217</v>
      </c>
      <c r="B7" s="1" t="n">
        <f aca="false">B2-B4</f>
        <v>0.288958437023696</v>
      </c>
      <c r="C7" s="1" t="n">
        <f aca="false">C2-C4</f>
        <v>0.403855690909598</v>
      </c>
      <c r="D7" s="1" t="n">
        <f aca="false">D2-D4</f>
        <v>0.205398432629152</v>
      </c>
      <c r="E7" s="1" t="n">
        <f aca="false">E2-E4</f>
        <v>0.0639309375889701</v>
      </c>
      <c r="F7" s="1" t="n">
        <f aca="false">F2-F4</f>
        <v>0.34250715782767</v>
      </c>
      <c r="G7" s="1" t="n">
        <f aca="false">G2-G4</f>
        <v>0.122006477539159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f aca="false">N2-N4</f>
        <v>0.423305949520783</v>
      </c>
      <c r="O7" s="1" t="n">
        <f aca="false">O2-O4</f>
        <v>0.339974801065858</v>
      </c>
      <c r="P7" s="1" t="n">
        <v>0</v>
      </c>
      <c r="Q7" s="1" t="n">
        <v>0</v>
      </c>
      <c r="R7" s="1" t="n">
        <f aca="false">R2-R4</f>
        <v>0.810023153175327</v>
      </c>
      <c r="S7" s="1" t="n">
        <f aca="false">S2-S4</f>
        <v>0.0287878787878789</v>
      </c>
      <c r="T7" s="1" t="n">
        <v>0</v>
      </c>
      <c r="U7" s="1" t="n">
        <v>0</v>
      </c>
      <c r="V7" s="1" t="n">
        <f aca="false">V2-V4</f>
        <v>0.0954686180692369</v>
      </c>
      <c r="W7" s="1" t="n">
        <f aca="false">W2-W4</f>
        <v>0.038961038961039</v>
      </c>
      <c r="X7" s="1" t="n">
        <f aca="false">X2-X4</f>
        <v>0.44503402003402</v>
      </c>
      <c r="Y7" s="1" t="n">
        <f aca="false">Y2-Y4</f>
        <v>0.679760407628295</v>
      </c>
      <c r="Z7" s="1" t="n">
        <f aca="false">Z2-Z4</f>
        <v>0.521429388221841</v>
      </c>
      <c r="AA7" s="1" t="n">
        <f aca="false">AA2-AA4</f>
        <v>0.541586073500968</v>
      </c>
      <c r="AB7" s="1" t="n">
        <f aca="false">AB2-AB4</f>
        <v>-0.049446606025554</v>
      </c>
      <c r="AC7" s="1" t="n">
        <f aca="false">AC2-AC4</f>
        <v>0.0696576151121611</v>
      </c>
      <c r="AD7" s="1" t="n">
        <f aca="false">AD2-AD4</f>
        <v>0</v>
      </c>
      <c r="AE7" s="1" t="n">
        <f aca="false">AE2-AE4</f>
        <v>0.273796342187868</v>
      </c>
      <c r="AF7" s="1" t="n">
        <v>0</v>
      </c>
      <c r="AG7" s="1" t="n">
        <f aca="false">AG2-AG4</f>
        <v>0</v>
      </c>
      <c r="AH7" s="1" t="n">
        <f aca="false">AH2-AH4</f>
        <v>0.273051948051948</v>
      </c>
      <c r="AI7" s="1" t="n">
        <f aca="false">AI2-AI4</f>
        <v>-0.0516595620225131</v>
      </c>
      <c r="AJ7" s="1" t="n">
        <f aca="false">AJ2-AJ4</f>
        <v>-0.0885521885521889</v>
      </c>
      <c r="AK7" s="1" t="n">
        <v>0</v>
      </c>
      <c r="AL7" s="1" t="n">
        <f aca="false">AL2-AL4</f>
        <v>-0.222914673046252</v>
      </c>
      <c r="AM7" s="1" t="n">
        <f aca="false">AM2-AM4</f>
        <v>-0.073863636363637</v>
      </c>
      <c r="AN7" s="1" t="n">
        <f aca="false">AN2-AN4</f>
        <v>-0.183225806451613</v>
      </c>
      <c r="AO7" s="1" t="n">
        <f aca="false">AO2-AO4</f>
        <v>-0.072727272727272</v>
      </c>
      <c r="AP7" s="1" t="n">
        <f aca="false">AP2-AP4</f>
        <v>0.10448778914688</v>
      </c>
      <c r="AQ7" s="1" t="n">
        <f aca="false">AQ2-AQ4</f>
        <v>-0.109090909090909</v>
      </c>
      <c r="AR7" s="1" t="n">
        <v>0</v>
      </c>
      <c r="AS7" s="1" t="n">
        <f aca="false">AS2-AS4</f>
        <v>0.436499321573948</v>
      </c>
      <c r="AT7" s="1" t="n">
        <f aca="false">AT2-AT4</f>
        <v>0.237626578677893</v>
      </c>
      <c r="AU7" s="1" t="n">
        <v>0</v>
      </c>
      <c r="AV7" s="1" t="n">
        <v>0</v>
      </c>
      <c r="AW7" s="1" t="n">
        <f aca="false">AW2-AW4</f>
        <v>0.124117398796718</v>
      </c>
      <c r="AX7" s="1" t="n">
        <f aca="false">AX2-AX4</f>
        <v>0.016204363383047</v>
      </c>
      <c r="AY7" s="1" t="n">
        <f aca="false">AY2-AY4</f>
        <v>-0.129292929292929</v>
      </c>
      <c r="AZ7" s="1" t="n">
        <f aca="false">AZ2-AZ4</f>
        <v>0.0838727835631859</v>
      </c>
      <c r="BA7" s="1" t="n">
        <f aca="false">BA2-BA4</f>
        <v>0.202002164502165</v>
      </c>
      <c r="BB7" s="1" t="n">
        <f aca="false">BB2-BB4</f>
        <v>0.098138754590367</v>
      </c>
      <c r="BC7" s="1" t="n">
        <f aca="false">BC2-BC4</f>
        <v>-0.079387241736471</v>
      </c>
      <c r="BD7" s="1" t="n">
        <v>0</v>
      </c>
      <c r="BE7" s="1" t="n">
        <f aca="false">BE2-BE4</f>
        <v>0.373132808961686</v>
      </c>
      <c r="BF7" s="1" t="n">
        <f aca="false">BF2-BF4</f>
        <v>0.059830866807611</v>
      </c>
      <c r="BG7" s="1" t="n">
        <f aca="false">BG2-BG4</f>
        <v>0.0101010101010099</v>
      </c>
      <c r="BH7" s="1" t="n">
        <f aca="false">BH2-BH4</f>
        <v>0</v>
      </c>
      <c r="BI7" s="1" t="n">
        <f aca="false">BI2-BI4</f>
        <v>0.073268977012292</v>
      </c>
      <c r="BJ7" s="1" t="n">
        <v>0</v>
      </c>
      <c r="BK7" s="1" t="n">
        <f aca="false">BK2-BK4</f>
        <v>-0.270240607393006</v>
      </c>
      <c r="BL7" s="1" t="n">
        <f aca="false">BL2-BL4</f>
        <v>0.665859526181163</v>
      </c>
      <c r="BM7" s="1" t="n">
        <f aca="false">BM2-BM4</f>
        <v>0.182062561094819</v>
      </c>
      <c r="BN7" s="1" t="n">
        <v>0</v>
      </c>
      <c r="BO7" s="1" t="n">
        <f aca="false">BO2-BO4</f>
        <v>-0.0244949494949491</v>
      </c>
      <c r="BP7" s="1" t="n">
        <f aca="false">BP2-BP4</f>
        <v>0.529219209165644</v>
      </c>
      <c r="BQ7" s="1" t="n">
        <f aca="false">BQ2-BQ4</f>
        <v>0.028242702039494</v>
      </c>
      <c r="BR7" s="1" t="n">
        <f aca="false">BR2-BR4</f>
        <v>0.131934731934732</v>
      </c>
      <c r="BS7" s="1" t="n">
        <f aca="false">BS2-BS4</f>
        <v>0.151648841354724</v>
      </c>
      <c r="BT7" s="1" t="n">
        <f aca="false">BT2-BT4</f>
        <v>0.339521220156232</v>
      </c>
      <c r="BU7" s="1" t="n">
        <f aca="false">BU2-BU4</f>
        <v>0.546345714736519</v>
      </c>
      <c r="BV7" s="1" t="n">
        <f aca="false">BV2-BV4</f>
        <v>0.00432900432900396</v>
      </c>
      <c r="BW7" s="1" t="n">
        <f aca="false">BW2-BW4</f>
        <v>0.409679781003311</v>
      </c>
      <c r="BX7" s="1" t="n">
        <f aca="false">BX2-BX4</f>
        <v>0</v>
      </c>
      <c r="BY7" s="1" t="n">
        <f aca="false">BY2-BY4</f>
        <v>0</v>
      </c>
      <c r="BZ7" s="1" t="n">
        <f aca="false">BZ2-BZ4</f>
        <v>0</v>
      </c>
      <c r="CA7" s="1" t="n">
        <f aca="false">CA2-CA4</f>
        <v>-0.00153954493725406</v>
      </c>
      <c r="CB7" s="1" t="n">
        <f aca="false">CB2-CB4</f>
        <v>0.108542761986457</v>
      </c>
      <c r="CC7" s="1" t="n">
        <f aca="false">CC2-CC4</f>
        <v>0.250696322888836</v>
      </c>
      <c r="CD7" s="1" t="n">
        <v>0</v>
      </c>
      <c r="CE7" s="1" t="n">
        <v>0</v>
      </c>
      <c r="CF7" s="1" t="n">
        <f aca="false">CF2-CF4</f>
        <v>-0.0395180835197614</v>
      </c>
      <c r="CG7" s="1" t="n">
        <f aca="false">CG2-CG4</f>
        <v>0.298909033310014</v>
      </c>
      <c r="CH7" s="1" t="n">
        <f aca="false">CH2-CH4</f>
        <v>0.0938457858243951</v>
      </c>
      <c r="CI7" s="1" t="n">
        <f aca="false">CI2-CI4</f>
        <v>-0.0443553601448341</v>
      </c>
      <c r="CJ7" s="1" t="n">
        <f aca="false">CJ2-CJ4</f>
        <v>-0.00826446280991688</v>
      </c>
      <c r="CK7" s="1" t="n">
        <v>0</v>
      </c>
      <c r="CL7" s="1" t="n">
        <f aca="false">CL2-CL4</f>
        <v>0.251893939393939</v>
      </c>
      <c r="CM7" s="1" t="n">
        <f aca="false">CM2-CM4</f>
        <v>0.0938139911424349</v>
      </c>
      <c r="CN7" s="1" t="n">
        <f aca="false">CN2-CN4</f>
        <v>-0.00890839940348209</v>
      </c>
      <c r="CO7" s="1" t="n">
        <f aca="false">CO2-CO4</f>
        <v>0.056386732224053</v>
      </c>
      <c r="CP7" s="1" t="n">
        <f aca="false">CP2-CP4</f>
        <v>0.196971719415562</v>
      </c>
      <c r="CQ7" s="1" t="n">
        <f aca="false">CQ2-CQ4</f>
        <v>0.120112414467253</v>
      </c>
      <c r="CR7" s="1" t="n">
        <f aca="false">CR2-CR4</f>
        <v>0.202957381299627</v>
      </c>
      <c r="CS7" s="1" t="n">
        <v>0</v>
      </c>
      <c r="CT7" s="1" t="n">
        <f aca="false">CT2-CT4</f>
        <v>0.027533594931714</v>
      </c>
      <c r="CU7" s="1" t="n">
        <f aca="false">CU2-CU4</f>
        <v>0.720701696503871</v>
      </c>
      <c r="CV7" s="1" t="n">
        <f aca="false">CV2-CV4</f>
        <v>0.0115562552089821</v>
      </c>
      <c r="CW7" s="1" t="n">
        <f aca="false">CW2-CW4</f>
        <v>0.629390495867768</v>
      </c>
      <c r="CX7" s="1" t="n">
        <v>0</v>
      </c>
      <c r="CY7" s="1" t="n">
        <v>0</v>
      </c>
      <c r="CZ7" s="1" t="n">
        <f aca="false">CZ2-CZ4</f>
        <v>0.026388206388206</v>
      </c>
      <c r="DA7" s="1" t="n">
        <f aca="false">DA2-DA4</f>
        <v>0.271129476584023</v>
      </c>
      <c r="DB7" s="1" t="n">
        <f aca="false">DB2-DB4</f>
        <v>0.148193577070583</v>
      </c>
      <c r="DC7" s="1" t="n">
        <f aca="false">DC2-DC4</f>
        <v>0.122260442260442</v>
      </c>
      <c r="DD7" s="1" t="n">
        <f aca="false">DD2-DD4</f>
        <v>0</v>
      </c>
      <c r="DE7" s="1" t="n">
        <f aca="false">DE2-DE4</f>
        <v>0.025780918427978</v>
      </c>
      <c r="DF7" s="1" t="n">
        <f aca="false">DF2-DF4</f>
        <v>0.31764705882353</v>
      </c>
      <c r="DG7" s="1" t="n">
        <v>0</v>
      </c>
      <c r="DH7" s="1" t="n">
        <v>0</v>
      </c>
      <c r="DI7" s="1" t="n">
        <f aca="false">DI2-DI4</f>
        <v>0</v>
      </c>
      <c r="DJ7" s="1" t="n">
        <f aca="false">DJ2-DJ4</f>
        <v>-0.00596590909090899</v>
      </c>
      <c r="DK7" s="1" t="n">
        <v>0</v>
      </c>
      <c r="DL7" s="1" t="n">
        <f aca="false">DL2-DL4</f>
        <v>0.200496871549503</v>
      </c>
      <c r="DM7" s="1" t="n">
        <f aca="false">DM2-DM4</f>
        <v>0.12576261082606</v>
      </c>
      <c r="DN7" s="1" t="n">
        <f aca="false">DN2-DN4</f>
        <v>-0.01842211087859</v>
      </c>
      <c r="DO7" s="1" t="n">
        <f aca="false">DO2-DO4</f>
        <v>-0.121590909090909</v>
      </c>
      <c r="DP7" s="1" t="n">
        <f aca="false">DP2-DP4</f>
        <v>-0.58541157107916</v>
      </c>
      <c r="DQ7" s="1" t="n">
        <v>0</v>
      </c>
      <c r="DR7" s="1" t="n">
        <f aca="false">DR2-DR4</f>
        <v>0.129265694985483</v>
      </c>
      <c r="DS7" s="1" t="n">
        <f aca="false">DS2-DS4</f>
        <v>-0.223908918406072</v>
      </c>
      <c r="DT7" s="1" t="n">
        <f aca="false">DT2-DT4</f>
        <v>-0.545454545454545</v>
      </c>
      <c r="DU7" s="1" t="n">
        <f aca="false">DU2-DU4</f>
        <v>-0.066565386485172</v>
      </c>
      <c r="DV7" s="1" t="n">
        <f aca="false">DV2-DV4</f>
        <v>0.228770260747005</v>
      </c>
      <c r="DW7" s="1" t="n">
        <v>0</v>
      </c>
      <c r="DX7" s="1" t="n">
        <f aca="false">DX2-DX4</f>
        <v>0.37104326270263</v>
      </c>
      <c r="DY7" s="1" t="n">
        <v>0</v>
      </c>
      <c r="DZ7" s="1" t="n">
        <f aca="false">DZ2-DZ4</f>
        <v>-0.065830721003135</v>
      </c>
      <c r="EA7" s="1" t="n">
        <f aca="false">EA2-EA4</f>
        <v>0.62004662004662</v>
      </c>
      <c r="EB7" s="1" t="n">
        <f aca="false">EB2-EB4</f>
        <v>-0.278787878787879</v>
      </c>
      <c r="EC7" s="1" t="n">
        <f aca="false">EC2-EC4</f>
        <v>0.359743879309097</v>
      </c>
      <c r="ED7" s="1" t="n">
        <f aca="false">ED2-ED4</f>
        <v>-0.073303294560047</v>
      </c>
      <c r="EE7" s="1" t="n">
        <f aca="false">EE2-EE4</f>
        <v>0.0871259175607</v>
      </c>
      <c r="EF7" s="1" t="n">
        <f aca="false">EF2-EF4</f>
        <v>0.0975883327199111</v>
      </c>
      <c r="EG7" s="1" t="n">
        <f aca="false">EG2-EG4</f>
        <v>-0.0679112554112561</v>
      </c>
      <c r="EH7" s="1" t="n">
        <f aca="false">EH2-EH4</f>
        <v>-0.103896103896104</v>
      </c>
      <c r="EI7" s="1" t="n">
        <f aca="false">EI2-EI4</f>
        <v>-0.207707959128414</v>
      </c>
      <c r="EJ7" s="1" t="n">
        <f aca="false">EJ2-EJ4</f>
        <v>0</v>
      </c>
      <c r="EK7" s="1" t="n">
        <f aca="false">EK2-EK4</f>
        <v>-0.176515151515152</v>
      </c>
      <c r="EL7" s="1" t="n">
        <v>0</v>
      </c>
      <c r="EM7" s="1" t="n">
        <f aca="false">EM2-EM4</f>
        <v>0.031365268207374</v>
      </c>
      <c r="EN7" s="1" t="n">
        <f aca="false">EN2-EN4</f>
        <v>-0.117227641448934</v>
      </c>
      <c r="EO7" s="1" t="n">
        <v>0</v>
      </c>
      <c r="EP7" s="1" t="n">
        <f aca="false">EP2-EP4</f>
        <v>-0.124592299556094</v>
      </c>
      <c r="EQ7" s="1" t="n">
        <f aca="false">EQ2-EQ4</f>
        <v>-0.0346153846153839</v>
      </c>
      <c r="ER7" s="1" t="n">
        <f aca="false">ER2-ER4</f>
        <v>0.306235619827853</v>
      </c>
      <c r="ES7" s="1" t="n">
        <f aca="false">ES2-ES4</f>
        <v>-0.0863760893357061</v>
      </c>
      <c r="ET7" s="1" t="n">
        <f aca="false">ET2-ET4</f>
        <v>0.018181818181818</v>
      </c>
      <c r="EU7" s="1" t="n">
        <v>0</v>
      </c>
      <c r="EV7" s="1" t="n">
        <v>0</v>
      </c>
      <c r="EW7" s="1" t="n">
        <f aca="false">EW2-EW4</f>
        <v>0.16162082694303</v>
      </c>
      <c r="EX7" s="1" t="n">
        <f aca="false">EX2-EX4</f>
        <v>0.222231308380127</v>
      </c>
      <c r="EY7" s="1" t="n">
        <f aca="false">EY2-EY4</f>
        <v>0.906542056074766</v>
      </c>
      <c r="EZ7" s="1" t="n">
        <f aca="false">EZ2-EZ4</f>
        <v>0.189020790386629</v>
      </c>
      <c r="FA7" s="1" t="n">
        <v>0</v>
      </c>
      <c r="FB7" s="1" t="n">
        <f aca="false">FB2-FB4</f>
        <v>-0.051892551892552</v>
      </c>
      <c r="FC7" s="1" t="n">
        <f aca="false">FC2-FC4</f>
        <v>-0.264822134387352</v>
      </c>
      <c r="FD7" s="1" t="n">
        <f aca="false">FD2-FD4</f>
        <v>0.063973922902495</v>
      </c>
      <c r="FE7" s="1" t="n">
        <f aca="false">FE2-FE4</f>
        <v>0.308509648918856</v>
      </c>
      <c r="FF7" s="1" t="n">
        <v>0</v>
      </c>
      <c r="FG7" s="1" t="n">
        <f aca="false">FG2-FG4</f>
        <v>-0.00454545454545396</v>
      </c>
      <c r="FH7" s="1" t="n">
        <f aca="false">FH2-FH4</f>
        <v>0.19449089265419</v>
      </c>
      <c r="FI7" s="1" t="n">
        <f aca="false">FI2-FI4</f>
        <v>-0.298661373760188</v>
      </c>
      <c r="FJ7" s="1" t="n">
        <f aca="false">FJ2-FJ4</f>
        <v>0.193726197174474</v>
      </c>
      <c r="FK7" s="1" t="n">
        <f aca="false">FK2-FK4</f>
        <v>0.126814963164295</v>
      </c>
      <c r="FL7" s="1" t="n">
        <v>0</v>
      </c>
      <c r="FM7" s="1" t="n">
        <v>0</v>
      </c>
      <c r="FN7" s="1" t="n">
        <f aca="false">FN2-FN4</f>
        <v>-0.266233766233766</v>
      </c>
      <c r="FO7" s="1" t="n">
        <f aca="false">FO2-FO4</f>
        <v>-0.785923753665689</v>
      </c>
      <c r="FP7" s="1" t="n">
        <f aca="false">FP2-FP4</f>
        <v>0.555096586998818</v>
      </c>
      <c r="FQ7" s="1" t="n">
        <f aca="false">FQ2-FQ4</f>
        <v>-0.41540404040404</v>
      </c>
      <c r="FR7" s="1" t="n">
        <f aca="false">FR2-FR4</f>
        <v>0.194664031620553</v>
      </c>
      <c r="FS7" s="1" t="n">
        <f aca="false">FS2-FS4</f>
        <v>0.24789026036469</v>
      </c>
      <c r="FT7" s="1" t="n">
        <f aca="false">FT2-FT4</f>
        <v>-0.165964724070093</v>
      </c>
      <c r="FU7" s="1" t="n">
        <f aca="false">FU2-FU4</f>
        <v>-0.220454545454545</v>
      </c>
      <c r="FV7" s="1" t="n">
        <f aca="false">FV2-FV4</f>
        <v>0.011857707509881</v>
      </c>
      <c r="FW7" s="1" t="n">
        <f aca="false">FW2-FW4</f>
        <v>0.00432900432900396</v>
      </c>
      <c r="FX7" s="1" t="n">
        <f aca="false">FX2-FX4</f>
        <v>0.064171122994652</v>
      </c>
      <c r="FY7" s="1" t="n">
        <f aca="false">FY2-FY4</f>
        <v>0.443866499220101</v>
      </c>
      <c r="FZ7" s="1" t="n">
        <f aca="false">FZ2-FZ4</f>
        <v>0.271817128362677</v>
      </c>
      <c r="GA7" s="1" t="n">
        <f aca="false">GA2-GA4</f>
        <v>-0.00681371329592706</v>
      </c>
      <c r="GB7" s="1" t="n">
        <v>0</v>
      </c>
      <c r="GC7" s="1" t="n">
        <f aca="false">GC2-GC4</f>
        <v>0.00432900432900396</v>
      </c>
      <c r="GD7" s="1" t="n">
        <f aca="false">GD2-GD4</f>
        <v>-0.1135246817065</v>
      </c>
      <c r="GE7" s="1" t="n">
        <f aca="false">GE2-GE4</f>
        <v>0.005417439703154</v>
      </c>
      <c r="GF7" s="1" t="n">
        <f aca="false">GF2-GF4</f>
        <v>0.035089645003947</v>
      </c>
      <c r="GG7" s="1" t="n">
        <f aca="false">GG2-GG4</f>
        <v>-0.00189393939393889</v>
      </c>
      <c r="GH7" s="1" t="n">
        <f aca="false">GH2-GH4</f>
        <v>-0.13424568263278</v>
      </c>
      <c r="GI7" s="1" t="n">
        <f aca="false">GI2-GI4</f>
        <v>0.085140192960896</v>
      </c>
      <c r="GJ7" s="1" t="n">
        <f aca="false">GJ2-GJ4</f>
        <v>0.10119419746677</v>
      </c>
      <c r="GK7" s="1" t="n">
        <f aca="false">GK2-GK4</f>
        <v>-0.664245882538908</v>
      </c>
      <c r="GL7" s="1" t="n">
        <f aca="false">GL2-GL4</f>
        <v>0.00826446280991688</v>
      </c>
      <c r="GM7" s="1" t="n">
        <f aca="false">GM2-GM4</f>
        <v>0.018181818181818</v>
      </c>
      <c r="GN7" s="1" t="n">
        <f aca="false">GN2-GN4</f>
        <v>0.125891265597148</v>
      </c>
      <c r="GO7" s="1" t="n">
        <v>0</v>
      </c>
      <c r="GP7" s="1" t="n">
        <f aca="false">GP2-GP4</f>
        <v>0.025470219435737</v>
      </c>
      <c r="GQ7" s="1" t="n">
        <v>0</v>
      </c>
      <c r="GR7" s="1" t="n">
        <v>0</v>
      </c>
      <c r="GS7" s="1" t="n">
        <f aca="false">GS2-GS4</f>
        <v>-0.926599326599327</v>
      </c>
      <c r="GT7" s="1" t="n">
        <f aca="false">GT2-GT4</f>
        <v>0</v>
      </c>
      <c r="GU7" s="1" t="n">
        <v>0</v>
      </c>
      <c r="GV7" s="1" t="n">
        <v>0</v>
      </c>
      <c r="GW7" s="1" t="n">
        <f aca="false">GW2-GW4</f>
        <v>-0.0903098570182425</v>
      </c>
      <c r="GX7" s="1" t="n">
        <f aca="false">GX2-GX4</f>
        <v>0.066950848194868</v>
      </c>
      <c r="GY7" s="1" t="n">
        <f aca="false">GY2-GY4</f>
        <v>-0.180234159779614</v>
      </c>
      <c r="GZ7" s="1" t="n">
        <f aca="false">GZ2-GZ4</f>
        <v>0.583068309320702</v>
      </c>
      <c r="HA7" s="1" t="n">
        <f aca="false">HA2-HA4</f>
        <v>0.10115216281067</v>
      </c>
      <c r="HB7" s="1" t="n">
        <f aca="false">HB2-HB4</f>
        <v>0.103981544771018</v>
      </c>
      <c r="HC7" s="1" t="n">
        <f aca="false">HC2-HC4</f>
        <v>0.305901043401043</v>
      </c>
      <c r="HD7" s="1" t="n">
        <f aca="false">HD2-HD4</f>
        <v>0.0849595095751959</v>
      </c>
    </row>
    <row r="9" customFormat="false" ht="12.8" hidden="false" customHeight="false" outlineLevel="0" collapsed="false">
      <c r="A9" s="0" t="s">
        <v>218</v>
      </c>
      <c r="B9" s="0" t="str">
        <f aca="false">INDEX(B1:HD1,MATCH(B10,B6:HD6,0))</f>
        <v> susu_xanhla_1loc</v>
      </c>
      <c r="C9" s="0" t="str">
        <f aca="false">INDEX(B1:HD1,MATCH(C10,B6:HD6,0))</f>
        <v> goigiavi_nau</v>
      </c>
      <c r="D9" s="0" t="str">
        <f aca="false">INDEX(B1:HD1,MATCH(D10,B6:HD6,0))</f>
        <v> coloscare_vang</v>
      </c>
      <c r="E9" s="0" t="str">
        <f aca="false">INDEX(B1:HD1,MATCH(E10,B6:HD6,0))</f>
        <v> metacare_blue</v>
      </c>
    </row>
    <row r="10" customFormat="false" ht="12.8" hidden="false" customHeight="false" outlineLevel="0" collapsed="false">
      <c r="B10" s="0" t="n">
        <f aca="false">MAX(B6:HD6)</f>
        <v>0.996969696969697</v>
      </c>
      <c r="C10" s="0" t="n">
        <f aca="false">LARGE(B6:HD6,2)</f>
        <v>0.670631987705159</v>
      </c>
      <c r="D10" s="2" t="n">
        <f aca="false">LARGE(C6:HE6,3)</f>
        <v>0.589262407958602</v>
      </c>
      <c r="E10" s="2" t="n">
        <f aca="false">LARGE(C6:HE6,4)</f>
        <v>0.5608699476624</v>
      </c>
      <c r="F10" s="2"/>
    </row>
    <row r="11" customFormat="false" ht="12.8" hidden="false" customHeight="false" outlineLevel="0" collapsed="false">
      <c r="B11" s="0" t="n">
        <f aca="false">MAX(B7:HD7)</f>
        <v>0.906542056074766</v>
      </c>
      <c r="C11" s="0" t="n">
        <f aca="false">LARGE(B7:HD7,2)</f>
        <v>0.810023153175327</v>
      </c>
      <c r="D11" s="2" t="n">
        <f aca="false">LARGE(B7:HD7,3)</f>
        <v>0.720701696503871</v>
      </c>
      <c r="E11" s="2" t="n">
        <f aca="false">LARGE(B7:HD7,4)</f>
        <v>0.679760407628295</v>
      </c>
      <c r="F11" s="0" t="n">
        <f aca="false">LARGE(B7:HD7,5)</f>
        <v>0.665859526181163</v>
      </c>
      <c r="G11" s="0" t="n">
        <f aca="false">LARGE(B7:HD7,6)</f>
        <v>0.629390495867768</v>
      </c>
      <c r="H11" s="0" t="n">
        <f aca="false">LARGE(B7:HD7,7)</f>
        <v>0.62004662004662</v>
      </c>
      <c r="I11" s="0" t="n">
        <f aca="false">LARGE(B7:HD7,8)</f>
        <v>0.583068309320702</v>
      </c>
      <c r="J11" s="0" t="n">
        <f aca="false">LARGE(B7:HD7,9)</f>
        <v>0.555096586998818</v>
      </c>
      <c r="K11" s="0" t="n">
        <f aca="false">LARGE(B7:HD7,10)</f>
        <v>0.546345714736519</v>
      </c>
      <c r="L11" s="0" t="n">
        <f aca="false">LARGE(B7:HD7,11)</f>
        <v>0.541586073500968</v>
      </c>
      <c r="M11" s="0" t="n">
        <f aca="false">LARGE(B7:HD7,12)</f>
        <v>0.529219209165644</v>
      </c>
      <c r="N11" s="0" t="n">
        <f aca="false">LARGE(B7:HD7,13)</f>
        <v>0.521429388221841</v>
      </c>
    </row>
    <row r="12" customFormat="false" ht="12.8" hidden="false" customHeight="false" outlineLevel="0" collapsed="false">
      <c r="A12" s="0" t="s">
        <v>219</v>
      </c>
      <c r="B12" s="0" t="str">
        <f aca="false">INDEX(B1:HD1,MATCH(MAX(B7:HD7),B7:HD7,0))</f>
        <v> binhsua_baby_xanhla</v>
      </c>
      <c r="C12" s="0" t="str">
        <f aca="false">INDEX(B1:HD1,MATCH(C11,B7:HD7,0))</f>
        <v> poro_xanhdatroi</v>
      </c>
      <c r="D12" s="0" t="str">
        <f aca="false">INDEX(B1:HD1,MATCH(D11,B7:HD7,0))</f>
        <v> metacare_xanhdam_1loc</v>
      </c>
      <c r="E12" s="0" t="str">
        <f aca="false">INDEX(B1:HD1,MATCH(E11,B7:HD7,0))</f>
        <v> hanie_kid</v>
      </c>
      <c r="F12" s="0" t="str">
        <f aca="false">INDEX(B1:HD1,MATCH(F11,B7:HD7,0))</f>
        <v> khautrang_kid</v>
      </c>
      <c r="G12" s="0" t="str">
        <f aca="false">INDEX(B1:HD1,MATCH(G11,B7:HD7,0))</f>
        <v> dalatmilk_1loc</v>
      </c>
      <c r="H12" s="0" t="str">
        <f aca="false">INDEX(B1:HD1,MATCH(H11,B7:HD7,0))</f>
        <v> khanuot_trangsocxanh</v>
      </c>
      <c r="I12" s="0" t="str">
        <f aca="false">INDEX(B1:HD1,MATCH(I11,B7:HD7,0))</f>
        <v> origold_xanhduong</v>
      </c>
      <c r="J12" s="0" t="str">
        <f aca="false">INDEX(B1:HD1,MATCH(J11,B7:HD7,0))</f>
        <v> susu_cam_1loc</v>
      </c>
      <c r="K12" s="0" t="str">
        <f aca="false">INDEX(B1:HD1,MATCH(K11,B7:HD7,0))</f>
        <v> goigiavi_xanhla</v>
      </c>
      <c r="L12" s="0" t="str">
        <f aca="false">INDEX(B1:HD1,MATCH(L11,B7:HD7,0))</f>
        <v> coloscare_hong1</v>
      </c>
      <c r="M12" s="0" t="str">
        <f aca="false">INDEX(B1:HD1,MATCH(M11,B7:HD7,0))</f>
        <v> care_100_gold_trang</v>
      </c>
      <c r="N12" s="0" t="str">
        <f aca="false">INDEX(B1:HD1,MATCH(N11,B7:HD7,0))</f>
        <v> metacare_blue</v>
      </c>
    </row>
    <row r="14" customFormat="false" ht="12.8" hidden="false" customHeight="false" outlineLevel="0" collapsed="false">
      <c r="A14" s="0" t="s">
        <v>220</v>
      </c>
      <c r="B14" s="2" t="str">
        <f aca="false">INDEX(B1:HD1,MATCH(MIN(B6:HD6),B6:HD6,0))</f>
        <v> susu_nau_1loc</v>
      </c>
      <c r="C14" s="0" t="str">
        <f aca="false">INDEX(B1:HD1,MATCH(C15,B6:HD6,0))</f>
        <v> suachua_hoff_vang</v>
      </c>
      <c r="D14" s="0" t="str">
        <f aca="false">INDEX(B1:HD1,MATCH(D15,B6:HD6,0))</f>
        <v> babyme_nest</v>
      </c>
      <c r="E14" s="0" t="str">
        <f aca="false">INDEX(B1:HD1,MATCH(E15,B6:HD6,0))</f>
        <v> khanvai_babyquy_nho</v>
      </c>
    </row>
    <row r="15" customFormat="false" ht="12.8" hidden="false" customHeight="false" outlineLevel="0" collapsed="false">
      <c r="B15" s="0" t="n">
        <f aca="false">MIN(B6:HD6)</f>
        <v>-0.776412776412776</v>
      </c>
      <c r="C15" s="0" t="n">
        <f aca="false">SMALL(B6:HD6,2)</f>
        <v>-0.609090909090909</v>
      </c>
      <c r="D15" s="0" t="n">
        <f aca="false">SMALL(B6:HD6,3)</f>
        <v>-0.603965183752418</v>
      </c>
      <c r="E15" s="0" t="n">
        <f aca="false">SMALL(B6:HD6,4)</f>
        <v>-0.601621295043513</v>
      </c>
    </row>
    <row r="16" customFormat="false" ht="12.8" hidden="false" customHeight="false" outlineLevel="0" collapsed="false">
      <c r="B16" s="0" t="n">
        <f aca="false">MIN(B7:HD7)</f>
        <v>-0.926599326599327</v>
      </c>
      <c r="C16" s="0" t="n">
        <f aca="false">SMALL(B7:HD7,2)</f>
        <v>-0.785923753665689</v>
      </c>
      <c r="D16" s="0" t="n">
        <f aca="false">SMALL(B7:HD7,3)</f>
        <v>-0.664245882538908</v>
      </c>
      <c r="E16" s="0" t="n">
        <f aca="false">SMALL(B7:HD7,4)</f>
        <v>-0.58541157107916</v>
      </c>
      <c r="F16" s="0" t="n">
        <f aca="false">SMALL(B7:HD7,5)</f>
        <v>-0.545454545454545</v>
      </c>
    </row>
    <row r="17" customFormat="false" ht="12.8" hidden="false" customHeight="false" outlineLevel="0" collapsed="false">
      <c r="A17" s="0" t="s">
        <v>221</v>
      </c>
      <c r="B17" s="0" t="str">
        <f aca="false">INDEX(B1:HD1,MATCH(B16,B7:HD7,0))</f>
        <v> giat_dnee_xanhduong</v>
      </c>
      <c r="C17" s="0" t="str">
        <f aca="false">INDEX(B1:HD1,MATCH(C16,B7:HD7,0))</f>
        <v> susu_nau_1loc</v>
      </c>
      <c r="D17" s="0" t="str">
        <f aca="false">INDEX(B1:HD1,MATCH(D16,B7:HD7,0))</f>
        <v> khanvai_babyquy_nho</v>
      </c>
      <c r="E17" s="0" t="str">
        <f aca="false">INDEX(B1:HD1,MATCH(E16,B7:HD7,0))</f>
        <v> babyme_nest</v>
      </c>
      <c r="F17" s="0" t="str">
        <f aca="false">INDEX(B1:HD1,MATCH(F16,B7:HD7,0))</f>
        <v> suachua_hoff_vang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2021-08-10T15:28:44Z</dcterms:modified>
  <cp:revision>3</cp:revision>
  <dc:subject/>
  <dc:title/>
</cp:coreProperties>
</file>